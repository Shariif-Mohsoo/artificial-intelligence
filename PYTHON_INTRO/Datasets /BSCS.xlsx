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pring-2025\Compiler Construction\Progress Report\"/>
    </mc:Choice>
  </mc:AlternateContent>
  <bookViews>
    <workbookView xWindow="0" yWindow="0" windowWidth="21600" windowHeight="9735"/>
  </bookViews>
  <sheets>
    <sheet name="Theory" sheetId="1" r:id="rId1"/>
  </sheets>
  <definedNames>
    <definedName name="_xlnm._FilterDatabase" localSheetId="0" hidden="1">Theory!$B$7:$B$33</definedName>
    <definedName name="_xlnm.Print_Titles" localSheetId="0">Theory!$5:$8</definedName>
  </definedNames>
  <calcPr calcId="152511"/>
</workbook>
</file>

<file path=xl/calcChain.xml><?xml version="1.0" encoding="utf-8"?>
<calcChain xmlns="http://schemas.openxmlformats.org/spreadsheetml/2006/main">
  <c r="P19" i="1" l="1"/>
  <c r="AD12" i="1"/>
  <c r="AD11" i="1" l="1"/>
  <c r="AD16" i="1"/>
  <c r="AD17" i="1"/>
  <c r="AD19" i="1"/>
  <c r="AD22" i="1"/>
  <c r="AD31" i="1"/>
  <c r="AD32" i="1"/>
  <c r="AD34" i="1"/>
  <c r="AD36" i="1"/>
  <c r="J9" i="1"/>
  <c r="K9" i="1" s="1"/>
  <c r="O18" i="1"/>
  <c r="W9" i="1"/>
  <c r="X9" i="1" s="1"/>
  <c r="AD9" i="1" s="1"/>
  <c r="W10" i="1"/>
  <c r="W11" i="1"/>
  <c r="W12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5" i="1"/>
  <c r="W46" i="1"/>
  <c r="W47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9" i="1"/>
  <c r="AB52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9" i="1"/>
  <c r="I52" i="1" l="1"/>
  <c r="K19" i="1"/>
  <c r="K21" i="1"/>
  <c r="K35" i="1"/>
  <c r="K36" i="1"/>
  <c r="K37" i="1"/>
  <c r="K38" i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19" i="1"/>
  <c r="J20" i="1"/>
  <c r="K20" i="1" s="1"/>
  <c r="J21" i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J36" i="1"/>
  <c r="J37" i="1"/>
  <c r="J38" i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8" i="1"/>
  <c r="H52" i="1" l="1"/>
  <c r="P10" i="1" l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9" i="1"/>
  <c r="N52" i="1"/>
  <c r="M52" i="1"/>
  <c r="U52" i="1" l="1"/>
  <c r="G52" i="1" l="1"/>
  <c r="F52" i="1" l="1"/>
  <c r="E52" i="1" l="1"/>
  <c r="L52" i="1" l="1"/>
  <c r="D52" i="1" l="1"/>
  <c r="AE31" i="1" l="1"/>
  <c r="AE32" i="1"/>
  <c r="AE34" i="1"/>
  <c r="AE36" i="1"/>
  <c r="AE50" i="1"/>
  <c r="V36" i="1"/>
  <c r="W44" i="1"/>
  <c r="V48" i="1"/>
  <c r="W48" i="1" s="1"/>
  <c r="V49" i="1"/>
  <c r="W49" i="1" s="1"/>
  <c r="V50" i="1"/>
  <c r="W50" i="1" s="1"/>
  <c r="V51" i="1"/>
  <c r="W51" i="1" s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X50" i="1" s="1"/>
  <c r="AD50" i="1" s="1"/>
  <c r="S51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X35" i="1" l="1"/>
  <c r="AD35" i="1" s="1"/>
  <c r="AE35" i="1" s="1"/>
  <c r="X37" i="1"/>
  <c r="AD37" i="1" s="1"/>
  <c r="AE37" i="1" s="1"/>
  <c r="X42" i="1"/>
  <c r="AD42" i="1" s="1"/>
  <c r="AE42" i="1" s="1"/>
  <c r="X47" i="1"/>
  <c r="AD47" i="1" s="1"/>
  <c r="AE47" i="1" s="1"/>
  <c r="X38" i="1"/>
  <c r="AD38" i="1" s="1"/>
  <c r="AE38" i="1" s="1"/>
  <c r="X43" i="1"/>
  <c r="AD43" i="1" s="1"/>
  <c r="AE43" i="1" s="1"/>
  <c r="X51" i="1"/>
  <c r="AD51" i="1" s="1"/>
  <c r="AE51" i="1" s="1"/>
  <c r="X39" i="1"/>
  <c r="AD39" i="1" s="1"/>
  <c r="AE39" i="1" s="1"/>
  <c r="X49" i="1"/>
  <c r="AD49" i="1" s="1"/>
  <c r="AE49" i="1" s="1"/>
  <c r="X41" i="1"/>
  <c r="AD41" i="1" s="1"/>
  <c r="AE41" i="1" s="1"/>
  <c r="X36" i="1"/>
  <c r="X46" i="1"/>
  <c r="AD46" i="1" s="1"/>
  <c r="AE46" i="1" s="1"/>
  <c r="X40" i="1"/>
  <c r="AD40" i="1" s="1"/>
  <c r="AE40" i="1" s="1"/>
  <c r="X45" i="1"/>
  <c r="AD45" i="1" s="1"/>
  <c r="AE45" i="1" s="1"/>
  <c r="X48" i="1"/>
  <c r="AD48" i="1" s="1"/>
  <c r="AE48" i="1" s="1"/>
  <c r="X44" i="1"/>
  <c r="AD44" i="1" s="1"/>
  <c r="AE44" i="1" s="1"/>
  <c r="V11" i="1"/>
  <c r="V13" i="1"/>
  <c r="W13" i="1" s="1"/>
  <c r="V16" i="1"/>
  <c r="V17" i="1"/>
  <c r="V19" i="1"/>
  <c r="V22" i="1"/>
  <c r="V31" i="1"/>
  <c r="V32" i="1"/>
  <c r="V34" i="1"/>
  <c r="S9" i="1" l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S52" i="1" l="1"/>
  <c r="T52" i="1" s="1"/>
  <c r="X32" i="1" l="1"/>
  <c r="X28" i="1"/>
  <c r="X24" i="1"/>
  <c r="X20" i="1"/>
  <c r="X16" i="1"/>
  <c r="AE16" i="1" s="1"/>
  <c r="X12" i="1"/>
  <c r="X27" i="1"/>
  <c r="X23" i="1"/>
  <c r="X19" i="1"/>
  <c r="AE19" i="1" s="1"/>
  <c r="X11" i="1"/>
  <c r="AE11" i="1" s="1"/>
  <c r="X33" i="1"/>
  <c r="AD33" i="1" s="1"/>
  <c r="AE33" i="1" s="1"/>
  <c r="X21" i="1"/>
  <c r="X29" i="1"/>
  <c r="X31" i="1"/>
  <c r="X13" i="1"/>
  <c r="X25" i="1"/>
  <c r="X17" i="1"/>
  <c r="AE17" i="1" s="1"/>
  <c r="X15" i="1"/>
  <c r="X34" i="1"/>
  <c r="X30" i="1"/>
  <c r="X26" i="1"/>
  <c r="X22" i="1"/>
  <c r="AE22" i="1" s="1"/>
  <c r="X18" i="1"/>
  <c r="X14" i="1"/>
  <c r="X10" i="1"/>
  <c r="AD13" i="1" l="1"/>
  <c r="AE13" i="1" s="1"/>
  <c r="AD30" i="1"/>
  <c r="AE30" i="1" s="1"/>
  <c r="AD29" i="1"/>
  <c r="AE29" i="1" s="1"/>
  <c r="AD28" i="1"/>
  <c r="AE28" i="1" s="1"/>
  <c r="AE27" i="1"/>
  <c r="AD27" i="1"/>
  <c r="AD26" i="1"/>
  <c r="AE26" i="1" s="1"/>
  <c r="AD25" i="1"/>
  <c r="AE25" i="1" s="1"/>
  <c r="AE24" i="1"/>
  <c r="AD24" i="1"/>
  <c r="AD23" i="1"/>
  <c r="AE23" i="1" s="1"/>
  <c r="AD21" i="1"/>
  <c r="AE21" i="1" s="1"/>
  <c r="AE20" i="1"/>
  <c r="AD20" i="1"/>
  <c r="AD18" i="1"/>
  <c r="AE18" i="1" s="1"/>
  <c r="AD15" i="1"/>
  <c r="AE15" i="1" s="1"/>
  <c r="AD14" i="1"/>
  <c r="AE14" i="1" s="1"/>
  <c r="AE12" i="1"/>
  <c r="AD10" i="1"/>
  <c r="AE10" i="1" s="1"/>
  <c r="AE9" i="1"/>
</calcChain>
</file>

<file path=xl/sharedStrings.xml><?xml version="1.0" encoding="utf-8"?>
<sst xmlns="http://schemas.openxmlformats.org/spreadsheetml/2006/main" count="99" uniqueCount="74">
  <si>
    <t xml:space="preserve">Name </t>
  </si>
  <si>
    <t>Sr.</t>
  </si>
  <si>
    <t>Quizzes</t>
  </si>
  <si>
    <t>Assignments</t>
  </si>
  <si>
    <t>Students Detail</t>
  </si>
  <si>
    <t>Total</t>
  </si>
  <si>
    <t>Registration No.</t>
  </si>
  <si>
    <t>CoE KICSIT</t>
  </si>
  <si>
    <t>Final Term</t>
  </si>
  <si>
    <t>OHT</t>
  </si>
  <si>
    <t>OHT-1</t>
  </si>
  <si>
    <t>OHT-2</t>
  </si>
  <si>
    <t>Grade</t>
  </si>
  <si>
    <t>CLO</t>
  </si>
  <si>
    <t>Final</t>
  </si>
  <si>
    <t>Instructor</t>
  </si>
  <si>
    <t>CLO1</t>
  </si>
  <si>
    <t>CLO3</t>
  </si>
  <si>
    <t>CLO2</t>
  </si>
  <si>
    <t>Q1</t>
  </si>
  <si>
    <t>Q2</t>
  </si>
  <si>
    <t>Q3</t>
  </si>
  <si>
    <t>Malik Saad Naeem</t>
  </si>
  <si>
    <t>Hira Sajid</t>
  </si>
  <si>
    <t>Muhammad Shahzeb Nawaz</t>
  </si>
  <si>
    <t>Muhammad Tauseeq Ul Hassan</t>
  </si>
  <si>
    <t>Aymen Abbas</t>
  </si>
  <si>
    <t>Muhammad Saad</t>
  </si>
  <si>
    <t>Muhammad Usman Shahid</t>
  </si>
  <si>
    <t>Rimsha Bibi</t>
  </si>
  <si>
    <t>Muhammad Adeel Abid</t>
  </si>
  <si>
    <t>Faiza Jamil</t>
  </si>
  <si>
    <t>Zoya Yasir</t>
  </si>
  <si>
    <t>Fiza Naureen</t>
  </si>
  <si>
    <t>Muhammad Umair</t>
  </si>
  <si>
    <t>Arfa Shahzadi</t>
  </si>
  <si>
    <t>Adeeba Afzal</t>
  </si>
  <si>
    <t>Muhammad Muneeb</t>
  </si>
  <si>
    <t>Hafsa Mahmood</t>
  </si>
  <si>
    <t>Muhammad Maaz Hussain</t>
  </si>
  <si>
    <t>Hifza Bibi</t>
  </si>
  <si>
    <t>Syed Rayyan Hussain</t>
  </si>
  <si>
    <t>Muhammad Mohsin</t>
  </si>
  <si>
    <t>Sardar Hafiz Muhammad Abdullah Jan</t>
  </si>
  <si>
    <t>Sher Bano</t>
  </si>
  <si>
    <t>Areesha Ahmed</t>
  </si>
  <si>
    <t>Alishba Arshad</t>
  </si>
  <si>
    <t>Wajeeha Naz</t>
  </si>
  <si>
    <t>Qurat-Ul-Ain</t>
  </si>
  <si>
    <t>Rehan</t>
  </si>
  <si>
    <t>Hurraira Shaheer</t>
  </si>
  <si>
    <t>Ayesha Arshad</t>
  </si>
  <si>
    <t>Muhammad Rehan</t>
  </si>
  <si>
    <t>Muhammad Usman Haider</t>
  </si>
  <si>
    <t>Danish Aziz</t>
  </si>
  <si>
    <t>Unzla Ahmad</t>
  </si>
  <si>
    <t>Hasnat Ali Awan</t>
  </si>
  <si>
    <t>Maleeka Batool</t>
  </si>
  <si>
    <t>Muhammad Bilal Malik</t>
  </si>
  <si>
    <t>Sufyan Ali</t>
  </si>
  <si>
    <t>Abdullah Rafique</t>
  </si>
  <si>
    <t>Samia Sajid</t>
  </si>
  <si>
    <t>Hafiz Muhammad Hamza Ali</t>
  </si>
  <si>
    <t>Minahil Shujah Satti</t>
  </si>
  <si>
    <t>Zoya Gul</t>
  </si>
  <si>
    <t>HOD (CS)</t>
  </si>
  <si>
    <r>
      <rPr>
        <b/>
        <sz val="16"/>
        <color theme="1"/>
        <rFont val="Times New Roman"/>
        <family val="1"/>
      </rPr>
      <t>Subject:</t>
    </r>
    <r>
      <rPr>
        <sz val="16"/>
        <color theme="1"/>
        <rFont val="Times New Roman"/>
        <family val="1"/>
      </rPr>
      <t xml:space="preserve"> Compiler Construction</t>
    </r>
  </si>
  <si>
    <r>
      <rPr>
        <b/>
        <sz val="16"/>
        <color theme="1"/>
        <rFont val="Times New Roman"/>
        <family val="1"/>
      </rPr>
      <t>Instructor:</t>
    </r>
    <r>
      <rPr>
        <sz val="16"/>
        <color theme="1"/>
        <rFont val="Times New Roman"/>
        <family val="1"/>
      </rPr>
      <t xml:space="preserve"> Dr. Sakeena Javaid</t>
    </r>
  </si>
  <si>
    <t>Q4</t>
  </si>
  <si>
    <r>
      <rPr>
        <b/>
        <sz val="16"/>
        <color theme="1"/>
        <rFont val="Times New Roman"/>
        <family val="1"/>
      </rPr>
      <t>Total Students:</t>
    </r>
    <r>
      <rPr>
        <sz val="16"/>
        <color theme="1"/>
        <rFont val="Times New Roman"/>
        <family val="1"/>
      </rPr>
      <t xml:space="preserve"> 43</t>
    </r>
  </si>
  <si>
    <t>Q5</t>
  </si>
  <si>
    <t>Q6</t>
  </si>
  <si>
    <r>
      <rPr>
        <b/>
        <sz val="16"/>
        <color theme="1"/>
        <rFont val="Times New Roman"/>
        <family val="1"/>
      </rPr>
      <t>Class:</t>
    </r>
    <r>
      <rPr>
        <sz val="16"/>
        <color theme="1"/>
        <rFont val="Times New Roman"/>
        <family val="1"/>
      </rPr>
      <t xml:space="preserve"> BSCS-V   Spring-2025</t>
    </r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</si>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</sst>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[$$-409]* #,##0.00_);_([$$-409]* \(#,##0.00\);_([$$-409]* &quot;-&quot;??_);_(@_)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ahoma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0" fontId="10" fillId="0" borderId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1" fillId="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9" fontId="9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9" fontId="3" fillId="2" borderId="15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5" fontId="12" fillId="0" borderId="20" xfId="0" applyNumberFormat="1" applyFont="1" applyBorder="1" applyAlignment="1">
      <alignment horizontal="center" vertical="center"/>
    </xf>
    <xf numFmtId="165" fontId="12" fillId="11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9" fontId="3" fillId="3" borderId="1" xfId="18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3" borderId="1" xfId="18" applyNumberFormat="1" applyFont="1" applyFill="1" applyBorder="1" applyAlignment="1">
      <alignment horizontal="center" vertical="center"/>
    </xf>
    <xf numFmtId="0" fontId="18" fillId="12" borderId="26" xfId="0" applyFont="1" applyFill="1" applyBorder="1" applyAlignment="1">
      <alignment horizontal="center" vertical="center"/>
    </xf>
    <xf numFmtId="0" fontId="18" fillId="12" borderId="28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vertical="center"/>
    </xf>
    <xf numFmtId="164" fontId="1" fillId="0" borderId="0" xfId="0" applyNumberFormat="1" applyFont="1" applyBorder="1" applyAlignment="1">
      <alignment horizontal="left"/>
    </xf>
    <xf numFmtId="0" fontId="0" fillId="0" borderId="0" xfId="0" applyBorder="1"/>
    <xf numFmtId="0" fontId="3" fillId="0" borderId="0" xfId="0" applyFont="1" applyBorder="1"/>
    <xf numFmtId="164" fontId="1" fillId="0" borderId="13" xfId="0" applyNumberFormat="1" applyFont="1" applyBorder="1" applyAlignment="1">
      <alignment horizontal="center" vertical="top"/>
    </xf>
    <xf numFmtId="164" fontId="3" fillId="0" borderId="3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4" fontId="3" fillId="0" borderId="13" xfId="0" applyNumberFormat="1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3" fontId="17" fillId="0" borderId="5" xfId="0" applyNumberFormat="1" applyFont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 readingOrder="1"/>
    </xf>
    <xf numFmtId="0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7" xfId="0" applyNumberFormat="1" applyFont="1" applyFill="1" applyBorder="1" applyAlignment="1">
      <alignment horizontal="center" vertical="center" wrapText="1" readingOrder="1"/>
    </xf>
    <xf numFmtId="0" fontId="17" fillId="0" borderId="7" xfId="0" applyFont="1" applyFill="1" applyBorder="1" applyAlignment="1">
      <alignment horizontal="left" vertical="center" wrapText="1" readingOrder="1"/>
    </xf>
    <xf numFmtId="165" fontId="15" fillId="14" borderId="1" xfId="0" applyNumberFormat="1" applyFont="1" applyFill="1" applyBorder="1" applyAlignment="1">
      <alignment horizontal="center"/>
    </xf>
    <xf numFmtId="165" fontId="15" fillId="15" borderId="1" xfId="0" applyNumberFormat="1" applyFont="1" applyFill="1" applyBorder="1" applyAlignment="1">
      <alignment horizontal="center"/>
    </xf>
    <xf numFmtId="165" fontId="0" fillId="0" borderId="0" xfId="0" applyNumberFormat="1" applyBorder="1"/>
    <xf numFmtId="165" fontId="15" fillId="16" borderId="1" xfId="0" applyNumberFormat="1" applyFont="1" applyFill="1" applyBorder="1" applyAlignment="1">
      <alignment horizontal="center"/>
    </xf>
    <xf numFmtId="165" fontId="15" fillId="10" borderId="1" xfId="0" applyNumberFormat="1" applyFont="1" applyFill="1" applyBorder="1" applyAlignment="1">
      <alignment horizontal="center"/>
    </xf>
    <xf numFmtId="165" fontId="12" fillId="16" borderId="20" xfId="0" applyNumberFormat="1" applyFont="1" applyFill="1" applyBorder="1" applyAlignment="1">
      <alignment horizontal="center" vertical="center"/>
    </xf>
    <xf numFmtId="165" fontId="12" fillId="14" borderId="20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15" borderId="20" xfId="0" applyNumberFormat="1" applyFont="1" applyFill="1" applyBorder="1" applyAlignment="1">
      <alignment horizontal="center" vertical="center"/>
    </xf>
    <xf numFmtId="0" fontId="18" fillId="12" borderId="2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5" fontId="15" fillId="10" borderId="15" xfId="0" applyNumberFormat="1" applyFont="1" applyFill="1" applyBorder="1" applyAlignment="1">
      <alignment horizontal="center"/>
    </xf>
    <xf numFmtId="165" fontId="15" fillId="14" borderId="15" xfId="0" applyNumberFormat="1" applyFont="1" applyFill="1" applyBorder="1" applyAlignment="1">
      <alignment horizontal="center"/>
    </xf>
    <xf numFmtId="165" fontId="15" fillId="16" borderId="15" xfId="0" applyNumberFormat="1" applyFont="1" applyFill="1" applyBorder="1" applyAlignment="1">
      <alignment horizontal="center"/>
    </xf>
    <xf numFmtId="165" fontId="15" fillId="15" borderId="15" xfId="0" applyNumberFormat="1" applyFont="1" applyFill="1" applyBorder="1" applyAlignment="1">
      <alignment horizontal="center"/>
    </xf>
    <xf numFmtId="165" fontId="15" fillId="0" borderId="15" xfId="0" applyNumberFormat="1" applyFont="1" applyFill="1" applyBorder="1" applyAlignment="1">
      <alignment horizontal="center"/>
    </xf>
    <xf numFmtId="165" fontId="12" fillId="10" borderId="20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15" xfId="0" applyNumberFormat="1" applyFont="1" applyFill="1" applyBorder="1" applyAlignment="1">
      <alignment horizontal="center"/>
    </xf>
    <xf numFmtId="165" fontId="20" fillId="2" borderId="2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5" fontId="20" fillId="11" borderId="9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20" fillId="11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0" xfId="0" applyFont="1"/>
    <xf numFmtId="0" fontId="21" fillId="14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165" fontId="21" fillId="10" borderId="15" xfId="0" applyNumberFormat="1" applyFont="1" applyFill="1" applyBorder="1" applyAlignment="1">
      <alignment horizontal="center"/>
    </xf>
    <xf numFmtId="165" fontId="12" fillId="14" borderId="1" xfId="0" applyNumberFormat="1" applyFont="1" applyFill="1" applyBorder="1" applyAlignment="1">
      <alignment horizontal="center" vertical="center"/>
    </xf>
    <xf numFmtId="165" fontId="12" fillId="15" borderId="1" xfId="0" applyNumberFormat="1" applyFont="1" applyFill="1" applyBorder="1" applyAlignment="1">
      <alignment horizontal="center" vertical="center"/>
    </xf>
    <xf numFmtId="165" fontId="12" fillId="0" borderId="1" xfId="0" applyNumberFormat="1" applyFont="1" applyFill="1" applyBorder="1" applyAlignment="1">
      <alignment horizontal="center" vertical="center"/>
    </xf>
    <xf numFmtId="165" fontId="12" fillId="16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2" borderId="1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165" fontId="12" fillId="17" borderId="20" xfId="0" applyNumberFormat="1" applyFont="1" applyFill="1" applyBorder="1" applyAlignment="1">
      <alignment horizontal="center" vertical="center"/>
    </xf>
    <xf numFmtId="165" fontId="12" fillId="0" borderId="20" xfId="0" applyNumberFormat="1" applyFont="1" applyFill="1" applyBorder="1" applyAlignment="1">
      <alignment horizontal="center" vertical="center"/>
    </xf>
    <xf numFmtId="1" fontId="20" fillId="17" borderId="1" xfId="0" applyNumberFormat="1" applyFont="1" applyFill="1" applyBorder="1" applyAlignment="1">
      <alignment horizontal="center" vertical="center"/>
    </xf>
    <xf numFmtId="1" fontId="20" fillId="14" borderId="1" xfId="0" applyNumberFormat="1" applyFont="1" applyFill="1" applyBorder="1" applyAlignment="1">
      <alignment horizontal="center" vertical="center"/>
    </xf>
    <xf numFmtId="165" fontId="15" fillId="17" borderId="1" xfId="0" applyNumberFormat="1" applyFont="1" applyFill="1" applyBorder="1" applyAlignment="1">
      <alignment horizontal="center"/>
    </xf>
    <xf numFmtId="165" fontId="15" fillId="17" borderId="15" xfId="0" applyNumberFormat="1" applyFont="1" applyFill="1" applyBorder="1" applyAlignment="1">
      <alignment horizontal="center"/>
    </xf>
    <xf numFmtId="3" fontId="17" fillId="17" borderId="5" xfId="0" applyNumberFormat="1" applyFont="1" applyFill="1" applyBorder="1" applyAlignment="1">
      <alignment horizontal="center" vertical="center"/>
    </xf>
    <xf numFmtId="0" fontId="17" fillId="17" borderId="1" xfId="0" applyNumberFormat="1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3" fillId="17" borderId="15" xfId="0" applyFont="1" applyFill="1" applyBorder="1" applyAlignment="1">
      <alignment horizontal="center" vertical="center"/>
    </xf>
    <xf numFmtId="165" fontId="20" fillId="17" borderId="2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65" fontId="20" fillId="17" borderId="9" xfId="0" applyNumberFormat="1" applyFont="1" applyFill="1" applyBorder="1" applyAlignment="1">
      <alignment horizontal="center" vertical="center"/>
    </xf>
    <xf numFmtId="165" fontId="20" fillId="17" borderId="20" xfId="0" applyNumberFormat="1" applyFont="1" applyFill="1" applyBorder="1" applyAlignment="1">
      <alignment horizontal="center" vertical="center"/>
    </xf>
    <xf numFmtId="165" fontId="20" fillId="17" borderId="1" xfId="0" applyNumberFormat="1" applyFont="1" applyFill="1" applyBorder="1" applyAlignment="1">
      <alignment horizontal="center" vertical="center"/>
    </xf>
    <xf numFmtId="165" fontId="12" fillId="17" borderId="1" xfId="0" applyNumberFormat="1" applyFont="1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165" fontId="2" fillId="17" borderId="0" xfId="0" applyNumberFormat="1" applyFont="1" applyFill="1" applyAlignment="1">
      <alignment horizontal="center"/>
    </xf>
    <xf numFmtId="0" fontId="0" fillId="17" borderId="0" xfId="0" applyFill="1"/>
    <xf numFmtId="165" fontId="12" fillId="18" borderId="1" xfId="0" applyNumberFormat="1" applyFont="1" applyFill="1" applyBorder="1" applyAlignment="1">
      <alignment horizontal="center" vertical="center"/>
    </xf>
  </cellXfs>
  <cellStyles count="19">
    <cellStyle name="Good 3" xfId="3"/>
    <cellStyle name="Good 4" xfId="5"/>
    <cellStyle name="Good 5" xfId="7"/>
    <cellStyle name="Good 6" xfId="9"/>
    <cellStyle name="Good 7" xfId="11"/>
    <cellStyle name="Good 8" xfId="13"/>
    <cellStyle name="Normal" xfId="0" builtinId="0"/>
    <cellStyle name="Normal 10" xfId="17"/>
    <cellStyle name="Normal 11" xfId="15"/>
    <cellStyle name="Normal 12" xfId="16"/>
    <cellStyle name="Normal 2" xfId="1"/>
    <cellStyle name="Normal 3" xfId="2"/>
    <cellStyle name="Normal 4" xfId="4"/>
    <cellStyle name="Normal 5" xfId="6"/>
    <cellStyle name="Normal 6" xfId="8"/>
    <cellStyle name="Normal 7" xfId="10"/>
    <cellStyle name="Normal 8" xfId="12"/>
    <cellStyle name="Normal 9" xfId="14"/>
    <cellStyle name="Percent" xfId="18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66FF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1102179</xdr:colOff>
      <xdr:row>3</xdr:row>
      <xdr:rowOff>219265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3067050" cy="954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3"/>
  <sheetViews>
    <sheetView tabSelected="1" zoomScale="70" zoomScaleNormal="70" workbookViewId="0">
      <selection activeCell="P19" sqref="P19"/>
    </sheetView>
  </sheetViews>
  <sheetFormatPr defaultRowHeight="18.75" x14ac:dyDescent="0.3"/>
  <cols>
    <col min="1" max="1" width="6.5703125" style="1" bestFit="1" customWidth="1"/>
    <col min="2" max="2" width="24" style="7" bestFit="1" customWidth="1"/>
    <col min="3" max="3" width="43.42578125" style="2" customWidth="1"/>
    <col min="4" max="4" width="8.5703125" customWidth="1"/>
    <col min="5" max="9" width="7.85546875" customWidth="1"/>
    <col min="10" max="10" width="7" customWidth="1"/>
    <col min="11" max="11" width="7.28515625" bestFit="1" customWidth="1"/>
    <col min="12" max="12" width="7" customWidth="1"/>
    <col min="13" max="13" width="7.7109375" customWidth="1"/>
    <col min="14" max="14" width="7.140625" customWidth="1"/>
    <col min="15" max="15" width="6.42578125" customWidth="1"/>
    <col min="16" max="16" width="7" customWidth="1"/>
    <col min="17" max="18" width="7.85546875" bestFit="1" customWidth="1"/>
    <col min="19" max="19" width="5.7109375" customWidth="1"/>
    <col min="20" max="20" width="9.28515625" customWidth="1"/>
    <col min="21" max="21" width="7.85546875" bestFit="1" customWidth="1"/>
    <col min="22" max="22" width="5.7109375" customWidth="1"/>
    <col min="23" max="23" width="9.42578125" customWidth="1"/>
    <col min="24" max="29" width="7.5703125" customWidth="1"/>
    <col min="30" max="30" width="8.42578125" bestFit="1" customWidth="1"/>
  </cols>
  <sheetData>
    <row r="1" spans="1:32" ht="18.75" customHeight="1" x14ac:dyDescent="0.25">
      <c r="A1" s="86"/>
      <c r="B1" s="87"/>
      <c r="C1" s="88"/>
      <c r="D1" s="95" t="s">
        <v>66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  <c r="P1" s="120" t="s">
        <v>67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</row>
    <row r="2" spans="1:32" ht="18.75" customHeight="1" thickBot="1" x14ac:dyDescent="0.3">
      <c r="A2" s="89"/>
      <c r="B2" s="90"/>
      <c r="C2" s="91"/>
      <c r="D2" s="98"/>
      <c r="E2" s="99"/>
      <c r="F2" s="99"/>
      <c r="G2" s="99"/>
      <c r="H2" s="99"/>
      <c r="I2" s="99"/>
      <c r="J2" s="99"/>
      <c r="K2" s="99"/>
      <c r="L2" s="99"/>
      <c r="M2" s="99"/>
      <c r="N2" s="99"/>
      <c r="O2" s="100"/>
      <c r="P2" s="122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</row>
    <row r="3" spans="1:32" ht="18.75" customHeight="1" x14ac:dyDescent="0.25">
      <c r="A3" s="89"/>
      <c r="B3" s="90"/>
      <c r="C3" s="91"/>
      <c r="D3" s="95" t="s">
        <v>72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7"/>
      <c r="P3" s="120" t="s">
        <v>69</v>
      </c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</row>
    <row r="4" spans="1:32" ht="18.75" customHeight="1" thickBot="1" x14ac:dyDescent="0.3">
      <c r="A4" s="92"/>
      <c r="B4" s="93"/>
      <c r="C4" s="94"/>
      <c r="D4" s="101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3"/>
      <c r="P4" s="124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</row>
    <row r="5" spans="1:32" ht="27" customHeight="1" x14ac:dyDescent="0.25">
      <c r="A5" s="104" t="s">
        <v>1</v>
      </c>
      <c r="B5" s="112" t="s">
        <v>4</v>
      </c>
      <c r="C5" s="112"/>
      <c r="D5" s="113" t="s">
        <v>2</v>
      </c>
      <c r="E5" s="113"/>
      <c r="F5" s="113"/>
      <c r="G5" s="113"/>
      <c r="H5" s="113"/>
      <c r="I5" s="113"/>
      <c r="J5" s="113"/>
      <c r="K5" s="113"/>
      <c r="L5" s="114" t="s">
        <v>3</v>
      </c>
      <c r="M5" s="114"/>
      <c r="N5" s="114"/>
      <c r="O5" s="114"/>
      <c r="P5" s="114"/>
      <c r="Q5" s="127" t="s">
        <v>9</v>
      </c>
      <c r="R5" s="128"/>
      <c r="S5" s="128"/>
      <c r="T5" s="128"/>
      <c r="U5" s="128"/>
      <c r="V5" s="128"/>
      <c r="W5" s="128"/>
      <c r="X5" s="129"/>
      <c r="Y5" s="127" t="s">
        <v>14</v>
      </c>
      <c r="Z5" s="128"/>
      <c r="AA5" s="128"/>
      <c r="AB5" s="128"/>
      <c r="AC5" s="129"/>
      <c r="AD5" s="126" t="s">
        <v>5</v>
      </c>
      <c r="AE5" s="117" t="s">
        <v>12</v>
      </c>
    </row>
    <row r="6" spans="1:32" ht="27" customHeight="1" x14ac:dyDescent="0.25">
      <c r="A6" s="105"/>
      <c r="B6" s="20"/>
      <c r="C6" s="22" t="s">
        <v>13</v>
      </c>
      <c r="D6" s="26" t="s">
        <v>16</v>
      </c>
      <c r="E6" s="26" t="s">
        <v>16</v>
      </c>
      <c r="F6" s="56" t="s">
        <v>18</v>
      </c>
      <c r="G6" s="56" t="s">
        <v>18</v>
      </c>
      <c r="H6" s="56" t="s">
        <v>17</v>
      </c>
      <c r="I6" s="56" t="s">
        <v>17</v>
      </c>
      <c r="J6" s="23"/>
      <c r="K6" s="27"/>
      <c r="L6" s="28" t="s">
        <v>16</v>
      </c>
      <c r="M6" s="28" t="s">
        <v>18</v>
      </c>
      <c r="N6" s="28" t="s">
        <v>17</v>
      </c>
      <c r="O6" s="28"/>
      <c r="P6" s="24"/>
      <c r="Q6" s="28" t="s">
        <v>16</v>
      </c>
      <c r="R6" s="28" t="s">
        <v>18</v>
      </c>
      <c r="S6" s="130" t="s">
        <v>10</v>
      </c>
      <c r="T6" s="131"/>
      <c r="U6" s="29" t="s">
        <v>18</v>
      </c>
      <c r="V6" s="130" t="s">
        <v>11</v>
      </c>
      <c r="W6" s="131"/>
      <c r="X6" s="14"/>
      <c r="Y6" s="28" t="s">
        <v>16</v>
      </c>
      <c r="Z6" s="28" t="s">
        <v>18</v>
      </c>
      <c r="AA6" s="28" t="s">
        <v>17</v>
      </c>
      <c r="AB6" s="115"/>
      <c r="AC6" s="116"/>
      <c r="AD6" s="126"/>
      <c r="AE6" s="118"/>
    </row>
    <row r="7" spans="1:32" ht="43.5" customHeight="1" x14ac:dyDescent="0.25">
      <c r="A7" s="106"/>
      <c r="B7" s="110" t="s">
        <v>6</v>
      </c>
      <c r="C7" s="108" t="s">
        <v>0</v>
      </c>
      <c r="D7" s="4" t="s">
        <v>19</v>
      </c>
      <c r="E7" s="4" t="s">
        <v>20</v>
      </c>
      <c r="F7" s="57" t="s">
        <v>21</v>
      </c>
      <c r="G7" s="57" t="s">
        <v>68</v>
      </c>
      <c r="H7" s="57" t="s">
        <v>70</v>
      </c>
      <c r="I7" s="57" t="s">
        <v>71</v>
      </c>
      <c r="J7" s="115" t="s">
        <v>5</v>
      </c>
      <c r="K7" s="116"/>
      <c r="L7" s="4" t="s">
        <v>19</v>
      </c>
      <c r="M7" s="4" t="s">
        <v>20</v>
      </c>
      <c r="N7" s="4" t="s">
        <v>21</v>
      </c>
      <c r="O7" s="11" t="s">
        <v>5</v>
      </c>
      <c r="P7" s="11" t="s">
        <v>5</v>
      </c>
      <c r="Q7" s="11" t="s">
        <v>19</v>
      </c>
      <c r="R7" s="11" t="s">
        <v>20</v>
      </c>
      <c r="S7" s="132"/>
      <c r="T7" s="133"/>
      <c r="U7" s="21" t="s">
        <v>19</v>
      </c>
      <c r="V7" s="132"/>
      <c r="W7" s="133"/>
      <c r="X7" s="11" t="s">
        <v>5</v>
      </c>
      <c r="Y7" s="11" t="s">
        <v>19</v>
      </c>
      <c r="Z7" s="11" t="s">
        <v>20</v>
      </c>
      <c r="AA7" s="11" t="s">
        <v>21</v>
      </c>
      <c r="AB7" s="134" t="s">
        <v>8</v>
      </c>
      <c r="AC7" s="135"/>
      <c r="AD7" s="126"/>
      <c r="AE7" s="118"/>
      <c r="AF7" s="10"/>
    </row>
    <row r="8" spans="1:32" ht="23.25" customHeight="1" x14ac:dyDescent="0.25">
      <c r="A8" s="107"/>
      <c r="B8" s="111"/>
      <c r="C8" s="109"/>
      <c r="D8" s="5">
        <v>20</v>
      </c>
      <c r="E8" s="5">
        <v>12</v>
      </c>
      <c r="F8" s="5">
        <v>20</v>
      </c>
      <c r="G8" s="5">
        <v>10</v>
      </c>
      <c r="H8" s="5">
        <v>15</v>
      </c>
      <c r="I8" s="5">
        <v>10</v>
      </c>
      <c r="J8" s="5">
        <f>SUM(D8:I8)</f>
        <v>87</v>
      </c>
      <c r="K8" s="6">
        <v>0.1</v>
      </c>
      <c r="L8" s="4">
        <v>10</v>
      </c>
      <c r="M8" s="4">
        <v>20</v>
      </c>
      <c r="N8" s="4">
        <v>20</v>
      </c>
      <c r="O8" s="4">
        <f t="shared" ref="O8:O34" si="0">SUM(L8:N8)</f>
        <v>50</v>
      </c>
      <c r="P8" s="16">
        <v>0.1</v>
      </c>
      <c r="Q8" s="4">
        <v>10</v>
      </c>
      <c r="R8" s="4">
        <v>20</v>
      </c>
      <c r="S8" s="17" t="s">
        <v>73</v>
      </c>
      <c r="T8" s="18">
        <v>0.15</v>
      </c>
      <c r="U8" s="25">
        <v>30</v>
      </c>
      <c r="V8" s="4">
        <v>30</v>
      </c>
      <c r="W8" s="18">
        <v>0.15</v>
      </c>
      <c r="X8" s="16">
        <v>0.3</v>
      </c>
      <c r="Y8" s="4">
        <v>20</v>
      </c>
      <c r="Z8" s="4">
        <v>10</v>
      </c>
      <c r="AA8" s="4">
        <v>20</v>
      </c>
      <c r="AB8" s="4">
        <v>50</v>
      </c>
      <c r="AC8" s="18">
        <v>0.5</v>
      </c>
      <c r="AD8" s="15">
        <v>100</v>
      </c>
      <c r="AE8" s="119"/>
      <c r="AF8" s="10"/>
    </row>
    <row r="9" spans="1:32" s="76" customFormat="1" ht="21.95" customHeight="1" x14ac:dyDescent="0.25">
      <c r="A9" s="39">
        <v>1</v>
      </c>
      <c r="B9" s="40">
        <v>232202001</v>
      </c>
      <c r="C9" s="41" t="s">
        <v>22</v>
      </c>
      <c r="D9" s="66">
        <v>16</v>
      </c>
      <c r="E9" s="66">
        <v>6</v>
      </c>
      <c r="F9" s="67">
        <v>20</v>
      </c>
      <c r="G9" s="67">
        <v>10</v>
      </c>
      <c r="H9" s="79">
        <v>0</v>
      </c>
      <c r="I9" s="67">
        <v>3</v>
      </c>
      <c r="J9" s="85">
        <f>SUM(D9:I9)</f>
        <v>55</v>
      </c>
      <c r="K9" s="68">
        <f>(J9/87)*10</f>
        <v>6.3218390804597702</v>
      </c>
      <c r="L9" s="77">
        <v>10</v>
      </c>
      <c r="M9" s="78">
        <v>20</v>
      </c>
      <c r="N9" s="64">
        <v>20</v>
      </c>
      <c r="O9" s="69">
        <f t="shared" si="0"/>
        <v>50</v>
      </c>
      <c r="P9" s="70">
        <f>(O9/50)*10</f>
        <v>10</v>
      </c>
      <c r="Q9" s="66">
        <v>9</v>
      </c>
      <c r="R9" s="66">
        <v>20</v>
      </c>
      <c r="S9" s="71">
        <f t="shared" ref="S9:S34" si="1">SUM(Q9:R9)</f>
        <v>29</v>
      </c>
      <c r="T9" s="71">
        <f>(S9/30)*15</f>
        <v>14.5</v>
      </c>
      <c r="U9" s="71">
        <v>30</v>
      </c>
      <c r="V9" s="66">
        <v>30</v>
      </c>
      <c r="W9" s="72">
        <f>(V9/30)*15</f>
        <v>15</v>
      </c>
      <c r="X9" s="73">
        <f>SUM(T9,W9)</f>
        <v>29.5</v>
      </c>
      <c r="Y9" s="73">
        <v>20</v>
      </c>
      <c r="Z9" s="73">
        <v>8.5</v>
      </c>
      <c r="AA9" s="73">
        <v>20</v>
      </c>
      <c r="AB9" s="73">
        <v>48.5</v>
      </c>
      <c r="AC9" s="73">
        <f>(AB9/50)*50</f>
        <v>48.5</v>
      </c>
      <c r="AD9" s="74">
        <f>SUM(K9,P9,X9,AC9)</f>
        <v>94.321839080459768</v>
      </c>
      <c r="AE9" s="75" t="str">
        <f>LOOKUP(AD9,{0,50,52,57,61,65,69,73,77,81,85},{"F","D","D+","C-","C","C+","B-","B","B+","A-","A"})</f>
        <v>A</v>
      </c>
      <c r="AF9" s="65"/>
    </row>
    <row r="10" spans="1:32" ht="18" customHeight="1" x14ac:dyDescent="0.25">
      <c r="A10" s="39">
        <v>2</v>
      </c>
      <c r="B10" s="40">
        <v>232202002</v>
      </c>
      <c r="C10" s="41" t="s">
        <v>23</v>
      </c>
      <c r="D10" s="13">
        <v>10</v>
      </c>
      <c r="E10" s="51">
        <v>0</v>
      </c>
      <c r="F10" s="59">
        <v>20</v>
      </c>
      <c r="G10" s="62">
        <v>9</v>
      </c>
      <c r="H10" s="79">
        <v>0</v>
      </c>
      <c r="I10" s="62">
        <v>6.5</v>
      </c>
      <c r="J10" s="5">
        <f t="shared" ref="J10:J51" si="2">SUM(D10:I10)</f>
        <v>45.5</v>
      </c>
      <c r="K10" s="68">
        <f t="shared" ref="K10:K51" si="3">(J10/87)*10</f>
        <v>5.2298850574712645</v>
      </c>
      <c r="L10" s="12">
        <v>10</v>
      </c>
      <c r="M10" s="13">
        <v>20</v>
      </c>
      <c r="N10" s="13">
        <v>18</v>
      </c>
      <c r="O10" s="4">
        <f t="shared" si="0"/>
        <v>48</v>
      </c>
      <c r="P10" s="70">
        <f t="shared" ref="P10:P51" si="4">(O10/50)*10</f>
        <v>9.6</v>
      </c>
      <c r="Q10" s="13">
        <v>5</v>
      </c>
      <c r="R10" s="13">
        <v>19.5</v>
      </c>
      <c r="S10" s="8">
        <f t="shared" si="1"/>
        <v>24.5</v>
      </c>
      <c r="T10" s="71">
        <f t="shared" ref="T10:T51" si="5">(S10/30)*15</f>
        <v>12.25</v>
      </c>
      <c r="U10" s="8">
        <v>29.5</v>
      </c>
      <c r="V10" s="13">
        <v>29.5</v>
      </c>
      <c r="W10" s="72">
        <f t="shared" ref="W10:W51" si="6">(V10/30)*15</f>
        <v>14.75</v>
      </c>
      <c r="X10" s="9">
        <f t="shared" ref="X10:X51" si="7">SUM(T10,W10)</f>
        <v>27</v>
      </c>
      <c r="Y10" s="9">
        <v>18</v>
      </c>
      <c r="Z10" s="9">
        <v>8</v>
      </c>
      <c r="AA10" s="9">
        <v>16.5</v>
      </c>
      <c r="AB10" s="9">
        <v>42.5</v>
      </c>
      <c r="AC10" s="73">
        <f t="shared" ref="AC10:AC51" si="8">(AB10/50)*50</f>
        <v>42.5</v>
      </c>
      <c r="AD10" s="74">
        <f t="shared" ref="AD10:AD51" si="9">SUM(K10,P10,X10,AC10)</f>
        <v>84.329885057471273</v>
      </c>
      <c r="AE10" s="19" t="str">
        <f>LOOKUP(AD10,{0,50,52,57,61,65,69,73,77,81,85},{"F","D","D+","C-","C","C+","B-","B","B+","A-","A"})</f>
        <v>A-</v>
      </c>
      <c r="AF10" s="3"/>
    </row>
    <row r="11" spans="1:32" ht="18" customHeight="1" x14ac:dyDescent="0.25">
      <c r="A11" s="39">
        <v>3</v>
      </c>
      <c r="B11" s="40">
        <v>232202003</v>
      </c>
      <c r="C11" s="41" t="s">
        <v>24</v>
      </c>
      <c r="D11" s="13">
        <v>14</v>
      </c>
      <c r="E11" s="13">
        <v>0</v>
      </c>
      <c r="F11" s="62">
        <v>20</v>
      </c>
      <c r="G11" s="62">
        <v>9.5</v>
      </c>
      <c r="H11" s="79">
        <v>0</v>
      </c>
      <c r="I11" s="62">
        <v>9</v>
      </c>
      <c r="J11" s="5">
        <f t="shared" si="2"/>
        <v>52.5</v>
      </c>
      <c r="K11" s="68">
        <f t="shared" si="3"/>
        <v>6.0344827586206895</v>
      </c>
      <c r="L11" s="13">
        <v>9</v>
      </c>
      <c r="M11" s="13">
        <v>20</v>
      </c>
      <c r="N11" s="13">
        <v>20</v>
      </c>
      <c r="O11" s="4">
        <f t="shared" si="0"/>
        <v>49</v>
      </c>
      <c r="P11" s="70">
        <f t="shared" si="4"/>
        <v>9.8000000000000007</v>
      </c>
      <c r="Q11" s="13">
        <v>8</v>
      </c>
      <c r="R11" s="13">
        <v>14</v>
      </c>
      <c r="S11" s="8">
        <f t="shared" si="1"/>
        <v>22</v>
      </c>
      <c r="T11" s="71">
        <f t="shared" si="5"/>
        <v>11</v>
      </c>
      <c r="U11" s="8">
        <v>24.5</v>
      </c>
      <c r="V11" s="13">
        <f t="shared" ref="V11:V51" si="10">SUM(U11:U11)</f>
        <v>24.5</v>
      </c>
      <c r="W11" s="72">
        <f t="shared" si="6"/>
        <v>12.25</v>
      </c>
      <c r="X11" s="9">
        <f t="shared" si="7"/>
        <v>23.25</v>
      </c>
      <c r="Y11" s="9">
        <v>18</v>
      </c>
      <c r="Z11" s="9">
        <v>10</v>
      </c>
      <c r="AA11" s="9">
        <v>18</v>
      </c>
      <c r="AB11" s="9">
        <v>46</v>
      </c>
      <c r="AC11" s="73">
        <f t="shared" si="8"/>
        <v>46</v>
      </c>
      <c r="AD11" s="74">
        <f t="shared" si="9"/>
        <v>85.084482758620695</v>
      </c>
      <c r="AE11" s="19" t="str">
        <f>LOOKUP(AD11,{0,50,52,57,61,65,69,73,77,81,85},{"F","D","D+","C-","C","C+","B-","B","B+","A-","A"})</f>
        <v>A</v>
      </c>
      <c r="AF11" s="3"/>
    </row>
    <row r="12" spans="1:32" x14ac:dyDescent="0.25">
      <c r="A12" s="39">
        <v>4</v>
      </c>
      <c r="B12" s="40">
        <v>232202004</v>
      </c>
      <c r="C12" s="41" t="s">
        <v>25</v>
      </c>
      <c r="D12" s="13">
        <v>18</v>
      </c>
      <c r="E12" s="13">
        <v>4.5</v>
      </c>
      <c r="F12" s="62">
        <v>19</v>
      </c>
      <c r="G12" s="62">
        <v>9</v>
      </c>
      <c r="H12" s="62">
        <v>14</v>
      </c>
      <c r="I12" s="62">
        <v>10</v>
      </c>
      <c r="J12" s="5">
        <f t="shared" si="2"/>
        <v>74.5</v>
      </c>
      <c r="K12" s="68">
        <f t="shared" si="3"/>
        <v>8.5632183908045985</v>
      </c>
      <c r="L12" s="13">
        <v>9</v>
      </c>
      <c r="M12" s="13">
        <v>20</v>
      </c>
      <c r="N12" s="13">
        <v>20</v>
      </c>
      <c r="O12" s="4">
        <f t="shared" si="0"/>
        <v>49</v>
      </c>
      <c r="P12" s="70">
        <f t="shared" si="4"/>
        <v>9.8000000000000007</v>
      </c>
      <c r="Q12" s="13">
        <v>10</v>
      </c>
      <c r="R12" s="13">
        <v>20</v>
      </c>
      <c r="S12" s="53">
        <f t="shared" si="1"/>
        <v>30</v>
      </c>
      <c r="T12" s="71">
        <f t="shared" si="5"/>
        <v>15</v>
      </c>
      <c r="U12" s="53">
        <v>30</v>
      </c>
      <c r="V12" s="13">
        <v>30</v>
      </c>
      <c r="W12" s="72">
        <f t="shared" si="6"/>
        <v>15</v>
      </c>
      <c r="X12" s="9">
        <f t="shared" si="7"/>
        <v>30</v>
      </c>
      <c r="Y12" s="9">
        <v>20</v>
      </c>
      <c r="Z12" s="9">
        <v>10</v>
      </c>
      <c r="AA12" s="9">
        <v>20</v>
      </c>
      <c r="AB12" s="80">
        <v>50</v>
      </c>
      <c r="AC12" s="73">
        <f t="shared" si="8"/>
        <v>50</v>
      </c>
      <c r="AD12" s="139">
        <f>SUM(K12,P12,X12,AC12)</f>
        <v>98.363218390804604</v>
      </c>
      <c r="AE12" s="19" t="str">
        <f>LOOKUP(AD12,{0,50,52,57,61,65,69,73,77,81,85},{"F","D","D+","C-","C","C+","B-","B","B+","A-","A"})</f>
        <v>A</v>
      </c>
      <c r="AF12" s="3"/>
    </row>
    <row r="13" spans="1:32" ht="18" customHeight="1" x14ac:dyDescent="0.25">
      <c r="A13" s="39">
        <v>5</v>
      </c>
      <c r="B13" s="40">
        <v>232202005</v>
      </c>
      <c r="C13" s="42" t="s">
        <v>26</v>
      </c>
      <c r="D13" s="13">
        <v>0</v>
      </c>
      <c r="E13" s="51">
        <v>0</v>
      </c>
      <c r="F13" s="62">
        <v>20</v>
      </c>
      <c r="G13" s="62">
        <v>4</v>
      </c>
      <c r="H13" s="58">
        <v>0</v>
      </c>
      <c r="I13" s="62">
        <v>0</v>
      </c>
      <c r="J13" s="5">
        <f t="shared" si="2"/>
        <v>24</v>
      </c>
      <c r="K13" s="68">
        <f t="shared" si="3"/>
        <v>2.7586206896551726</v>
      </c>
      <c r="L13" s="13">
        <v>10</v>
      </c>
      <c r="M13" s="13">
        <v>20</v>
      </c>
      <c r="N13" s="50">
        <v>19</v>
      </c>
      <c r="O13" s="4">
        <f t="shared" si="0"/>
        <v>49</v>
      </c>
      <c r="P13" s="70">
        <f t="shared" si="4"/>
        <v>9.8000000000000007</v>
      </c>
      <c r="Q13" s="13">
        <v>5</v>
      </c>
      <c r="R13" s="13">
        <v>16.5</v>
      </c>
      <c r="S13" s="8">
        <f t="shared" si="1"/>
        <v>21.5</v>
      </c>
      <c r="T13" s="71">
        <f t="shared" si="5"/>
        <v>10.75</v>
      </c>
      <c r="U13" s="8">
        <v>30</v>
      </c>
      <c r="V13" s="13">
        <f t="shared" si="10"/>
        <v>30</v>
      </c>
      <c r="W13" s="72">
        <f t="shared" si="6"/>
        <v>15</v>
      </c>
      <c r="X13" s="9">
        <f t="shared" si="7"/>
        <v>25.75</v>
      </c>
      <c r="Y13" s="9">
        <v>16</v>
      </c>
      <c r="Z13" s="9">
        <v>10</v>
      </c>
      <c r="AA13" s="9">
        <v>16</v>
      </c>
      <c r="AB13" s="9">
        <v>42</v>
      </c>
      <c r="AC13" s="73">
        <f t="shared" si="8"/>
        <v>42</v>
      </c>
      <c r="AD13" s="74">
        <f t="shared" si="9"/>
        <v>80.308620689655172</v>
      </c>
      <c r="AE13" s="19" t="str">
        <f>LOOKUP(AD13,{0,50,52,57,61,65,69,73,77,81,85},{"F","D","D+","C-","C","C+","B-","B","B+","A-","A"})</f>
        <v>B+</v>
      </c>
      <c r="AF13" s="3"/>
    </row>
    <row r="14" spans="1:32" ht="18" customHeight="1" x14ac:dyDescent="0.25">
      <c r="A14" s="39">
        <v>6</v>
      </c>
      <c r="B14" s="40">
        <v>232202006</v>
      </c>
      <c r="C14" s="42" t="s">
        <v>27</v>
      </c>
      <c r="D14" s="13">
        <v>14</v>
      </c>
      <c r="E14" s="13">
        <v>4</v>
      </c>
      <c r="F14" s="58">
        <v>0</v>
      </c>
      <c r="G14" s="60">
        <v>4</v>
      </c>
      <c r="H14" s="62">
        <v>9</v>
      </c>
      <c r="I14" s="62">
        <v>2</v>
      </c>
      <c r="J14" s="5">
        <f t="shared" si="2"/>
        <v>33</v>
      </c>
      <c r="K14" s="68">
        <f t="shared" si="3"/>
        <v>3.7931034482758621</v>
      </c>
      <c r="L14" s="13">
        <v>8.5</v>
      </c>
      <c r="M14" s="13">
        <v>18</v>
      </c>
      <c r="N14" s="13">
        <v>17</v>
      </c>
      <c r="O14" s="4">
        <f t="shared" si="0"/>
        <v>43.5</v>
      </c>
      <c r="P14" s="70">
        <f t="shared" si="4"/>
        <v>8.6999999999999993</v>
      </c>
      <c r="Q14" s="13">
        <v>5</v>
      </c>
      <c r="R14" s="13">
        <v>10.5</v>
      </c>
      <c r="S14" s="8">
        <f t="shared" si="1"/>
        <v>15.5</v>
      </c>
      <c r="T14" s="71">
        <f t="shared" si="5"/>
        <v>7.7500000000000009</v>
      </c>
      <c r="U14" s="8">
        <v>27</v>
      </c>
      <c r="V14" s="13">
        <v>27</v>
      </c>
      <c r="W14" s="72">
        <f t="shared" si="6"/>
        <v>13.5</v>
      </c>
      <c r="X14" s="9">
        <f t="shared" si="7"/>
        <v>21.25</v>
      </c>
      <c r="Y14" s="9">
        <v>16</v>
      </c>
      <c r="Z14" s="9">
        <v>10</v>
      </c>
      <c r="AA14" s="9">
        <v>16</v>
      </c>
      <c r="AB14" s="9">
        <v>42</v>
      </c>
      <c r="AC14" s="73">
        <f t="shared" si="8"/>
        <v>42</v>
      </c>
      <c r="AD14" s="74">
        <f t="shared" si="9"/>
        <v>75.743103448275861</v>
      </c>
      <c r="AE14" s="19" t="str">
        <f>LOOKUP(AD14,{0,50,52,57,61,65,69,73,77,81,85},{"F","D","D+","C-","C","C+","B-","B","B+","A-","A"})</f>
        <v>B</v>
      </c>
      <c r="AF14" s="3"/>
    </row>
    <row r="15" spans="1:32" ht="18" customHeight="1" x14ac:dyDescent="0.25">
      <c r="A15" s="39">
        <v>7</v>
      </c>
      <c r="B15" s="40">
        <v>232202007</v>
      </c>
      <c r="C15" s="41" t="s">
        <v>28</v>
      </c>
      <c r="D15" s="13">
        <v>0</v>
      </c>
      <c r="E15" s="51">
        <v>0</v>
      </c>
      <c r="F15" s="62">
        <v>8</v>
      </c>
      <c r="G15" s="61">
        <v>0</v>
      </c>
      <c r="H15" s="58">
        <v>0</v>
      </c>
      <c r="I15" s="62">
        <v>3</v>
      </c>
      <c r="J15" s="5">
        <f t="shared" si="2"/>
        <v>11</v>
      </c>
      <c r="K15" s="68">
        <f t="shared" si="3"/>
        <v>1.264367816091954</v>
      </c>
      <c r="L15" s="13">
        <v>9</v>
      </c>
      <c r="M15" s="13">
        <v>18</v>
      </c>
      <c r="N15" s="13">
        <v>17</v>
      </c>
      <c r="O15" s="4">
        <f t="shared" si="0"/>
        <v>44</v>
      </c>
      <c r="P15" s="70">
        <f t="shared" si="4"/>
        <v>8.8000000000000007</v>
      </c>
      <c r="Q15" s="13">
        <v>4.5</v>
      </c>
      <c r="R15" s="13">
        <v>11</v>
      </c>
      <c r="S15" s="8">
        <f t="shared" si="1"/>
        <v>15.5</v>
      </c>
      <c r="T15" s="71">
        <f t="shared" si="5"/>
        <v>7.7500000000000009</v>
      </c>
      <c r="U15" s="8">
        <v>26</v>
      </c>
      <c r="V15" s="13">
        <v>26</v>
      </c>
      <c r="W15" s="72">
        <f t="shared" si="6"/>
        <v>13</v>
      </c>
      <c r="X15" s="9">
        <f t="shared" si="7"/>
        <v>20.75</v>
      </c>
      <c r="Y15" s="9">
        <v>15.5</v>
      </c>
      <c r="Z15" s="9">
        <v>10</v>
      </c>
      <c r="AA15" s="9">
        <v>15.5</v>
      </c>
      <c r="AB15" s="83">
        <v>41</v>
      </c>
      <c r="AC15" s="73">
        <f t="shared" si="8"/>
        <v>41</v>
      </c>
      <c r="AD15" s="74">
        <f t="shared" si="9"/>
        <v>71.814367816091959</v>
      </c>
      <c r="AE15" s="19" t="str">
        <f>LOOKUP(AD15,{0,50,52,57,61,65,69,73,77,81,85},{"F","D","D+","C-","C","C+","B-","B","B+","A-","A"})</f>
        <v>B-</v>
      </c>
      <c r="AF15" s="3"/>
    </row>
    <row r="16" spans="1:32" ht="18" customHeight="1" x14ac:dyDescent="0.25">
      <c r="A16" s="39">
        <v>8</v>
      </c>
      <c r="B16" s="40">
        <v>232202008</v>
      </c>
      <c r="C16" s="42" t="s">
        <v>29</v>
      </c>
      <c r="D16" s="13">
        <v>16</v>
      </c>
      <c r="E16" s="13">
        <v>9</v>
      </c>
      <c r="F16" s="62">
        <v>16</v>
      </c>
      <c r="G16" s="62">
        <v>0</v>
      </c>
      <c r="H16" s="58">
        <v>0</v>
      </c>
      <c r="I16" s="62">
        <v>3</v>
      </c>
      <c r="J16" s="5">
        <f t="shared" si="2"/>
        <v>44</v>
      </c>
      <c r="K16" s="68">
        <f t="shared" si="3"/>
        <v>5.0574712643678161</v>
      </c>
      <c r="L16" s="13">
        <v>9</v>
      </c>
      <c r="M16" s="13">
        <v>20</v>
      </c>
      <c r="N16" s="13">
        <v>20</v>
      </c>
      <c r="O16" s="4">
        <f t="shared" si="0"/>
        <v>49</v>
      </c>
      <c r="P16" s="70">
        <f t="shared" si="4"/>
        <v>9.8000000000000007</v>
      </c>
      <c r="Q16" s="13">
        <v>10</v>
      </c>
      <c r="R16" s="13">
        <v>5.5</v>
      </c>
      <c r="S16" s="8">
        <f t="shared" si="1"/>
        <v>15.5</v>
      </c>
      <c r="T16" s="71">
        <f t="shared" si="5"/>
        <v>7.7500000000000009</v>
      </c>
      <c r="U16" s="8">
        <v>26</v>
      </c>
      <c r="V16" s="13">
        <f t="shared" si="10"/>
        <v>26</v>
      </c>
      <c r="W16" s="72">
        <f t="shared" si="6"/>
        <v>13</v>
      </c>
      <c r="X16" s="9">
        <f t="shared" si="7"/>
        <v>20.75</v>
      </c>
      <c r="Y16" s="9">
        <v>14.5</v>
      </c>
      <c r="Z16" s="9">
        <v>10</v>
      </c>
      <c r="AA16" s="9">
        <v>14.5</v>
      </c>
      <c r="AB16" s="9">
        <v>39.5</v>
      </c>
      <c r="AC16" s="73">
        <f t="shared" si="8"/>
        <v>39.5</v>
      </c>
      <c r="AD16" s="74">
        <f t="shared" si="9"/>
        <v>75.107471264367817</v>
      </c>
      <c r="AE16" s="19" t="str">
        <f>LOOKUP(AD16,{0,50,52,57,61,65,69,73,77,81,85},{"F","D","D+","C-","C","C+","B-","B","B+","A-","A"})</f>
        <v>B</v>
      </c>
      <c r="AF16" s="3"/>
    </row>
    <row r="17" spans="1:32" ht="18" customHeight="1" x14ac:dyDescent="0.25">
      <c r="A17" s="39">
        <v>9</v>
      </c>
      <c r="B17" s="40">
        <v>232202009</v>
      </c>
      <c r="C17" s="41" t="s">
        <v>30</v>
      </c>
      <c r="D17" s="13">
        <v>0</v>
      </c>
      <c r="E17" s="13">
        <v>4.5</v>
      </c>
      <c r="F17" s="58">
        <v>0</v>
      </c>
      <c r="G17" s="62">
        <v>9.5</v>
      </c>
      <c r="H17" s="58">
        <v>0</v>
      </c>
      <c r="I17" s="62">
        <v>3</v>
      </c>
      <c r="J17" s="5">
        <f t="shared" si="2"/>
        <v>17</v>
      </c>
      <c r="K17" s="68">
        <f t="shared" si="3"/>
        <v>1.9540229885057472</v>
      </c>
      <c r="L17" s="13">
        <v>9</v>
      </c>
      <c r="M17" s="13">
        <v>16</v>
      </c>
      <c r="N17" s="13">
        <v>17</v>
      </c>
      <c r="O17" s="4">
        <f t="shared" si="0"/>
        <v>42</v>
      </c>
      <c r="P17" s="70">
        <f t="shared" si="4"/>
        <v>8.4</v>
      </c>
      <c r="Q17" s="13">
        <v>6</v>
      </c>
      <c r="R17" s="13">
        <v>19.5</v>
      </c>
      <c r="S17" s="8">
        <f t="shared" si="1"/>
        <v>25.5</v>
      </c>
      <c r="T17" s="71">
        <f t="shared" si="5"/>
        <v>12.75</v>
      </c>
      <c r="U17" s="8">
        <v>24.5</v>
      </c>
      <c r="V17" s="13">
        <f t="shared" si="10"/>
        <v>24.5</v>
      </c>
      <c r="W17" s="72">
        <f t="shared" si="6"/>
        <v>12.25</v>
      </c>
      <c r="X17" s="9">
        <f t="shared" si="7"/>
        <v>25</v>
      </c>
      <c r="Y17" s="9">
        <v>19</v>
      </c>
      <c r="Z17" s="9">
        <v>10</v>
      </c>
      <c r="AA17" s="9">
        <v>19.5</v>
      </c>
      <c r="AB17" s="9">
        <v>48.5</v>
      </c>
      <c r="AC17" s="73">
        <f t="shared" si="8"/>
        <v>48.5</v>
      </c>
      <c r="AD17" s="74">
        <f t="shared" si="9"/>
        <v>83.854022988505747</v>
      </c>
      <c r="AE17" s="19" t="str">
        <f>LOOKUP(AD17,{0,50,52,57,61,65,69,73,77,81,85},{"F","D","D+","C-","C","C+","B-","B","B+","A-","A"})</f>
        <v>A-</v>
      </c>
      <c r="AF17" s="3"/>
    </row>
    <row r="18" spans="1:32" ht="18" customHeight="1" x14ac:dyDescent="0.25">
      <c r="A18" s="39">
        <v>10</v>
      </c>
      <c r="B18" s="40">
        <v>232202010</v>
      </c>
      <c r="C18" s="41" t="s">
        <v>31</v>
      </c>
      <c r="D18" s="13">
        <v>14</v>
      </c>
      <c r="E18" s="13">
        <v>7.5</v>
      </c>
      <c r="F18" s="62">
        <v>12.5</v>
      </c>
      <c r="G18" s="62">
        <v>1</v>
      </c>
      <c r="H18" s="62">
        <v>14.5</v>
      </c>
      <c r="I18" s="62">
        <v>8</v>
      </c>
      <c r="J18" s="5">
        <f t="shared" si="2"/>
        <v>57.5</v>
      </c>
      <c r="K18" s="68">
        <f t="shared" si="3"/>
        <v>6.6091954022988508</v>
      </c>
      <c r="L18" s="13">
        <v>9.5</v>
      </c>
      <c r="M18" s="13">
        <v>20</v>
      </c>
      <c r="N18" s="13">
        <v>19</v>
      </c>
      <c r="O18" s="84">
        <f>SUM(L18:N18)</f>
        <v>48.5</v>
      </c>
      <c r="P18" s="70">
        <f t="shared" si="4"/>
        <v>9.6999999999999993</v>
      </c>
      <c r="Q18" s="13">
        <v>5</v>
      </c>
      <c r="R18" s="13">
        <v>10.5</v>
      </c>
      <c r="S18" s="8">
        <f t="shared" si="1"/>
        <v>15.5</v>
      </c>
      <c r="T18" s="71">
        <f t="shared" si="5"/>
        <v>7.7500000000000009</v>
      </c>
      <c r="U18" s="8">
        <v>26</v>
      </c>
      <c r="V18" s="13">
        <v>26</v>
      </c>
      <c r="W18" s="72">
        <f t="shared" si="6"/>
        <v>13</v>
      </c>
      <c r="X18" s="9">
        <f t="shared" si="7"/>
        <v>20.75</v>
      </c>
      <c r="Y18" s="9">
        <v>19.5</v>
      </c>
      <c r="Z18" s="9">
        <v>10</v>
      </c>
      <c r="AA18" s="9">
        <v>19.5</v>
      </c>
      <c r="AB18" s="9">
        <v>49</v>
      </c>
      <c r="AC18" s="73">
        <f t="shared" si="8"/>
        <v>49</v>
      </c>
      <c r="AD18" s="74">
        <f t="shared" si="9"/>
        <v>86.059195402298855</v>
      </c>
      <c r="AE18" s="19" t="str">
        <f>LOOKUP(AD18,{0,50,52,57,61,65,69,73,77,81,85},{"F","D","D+","C-","C","C+","B-","B","B+","A-","A"})</f>
        <v>A</v>
      </c>
      <c r="AF18" s="3"/>
    </row>
    <row r="19" spans="1:32" ht="18" customHeight="1" x14ac:dyDescent="0.25">
      <c r="A19" s="39">
        <v>11</v>
      </c>
      <c r="B19" s="40">
        <v>232202011</v>
      </c>
      <c r="C19" s="41" t="s">
        <v>32</v>
      </c>
      <c r="D19" s="13">
        <v>18</v>
      </c>
      <c r="E19" s="51">
        <v>0</v>
      </c>
      <c r="F19" s="58">
        <v>0</v>
      </c>
      <c r="G19" s="62">
        <v>5</v>
      </c>
      <c r="H19" s="58">
        <v>0</v>
      </c>
      <c r="I19" s="62">
        <v>5</v>
      </c>
      <c r="J19" s="5">
        <f t="shared" si="2"/>
        <v>28</v>
      </c>
      <c r="K19" s="68">
        <f t="shared" si="3"/>
        <v>3.2183908045977012</v>
      </c>
      <c r="L19" s="13">
        <v>10</v>
      </c>
      <c r="M19" s="13">
        <v>20</v>
      </c>
      <c r="N19" s="13">
        <v>20</v>
      </c>
      <c r="O19" s="4">
        <f t="shared" si="0"/>
        <v>50</v>
      </c>
      <c r="P19" s="70">
        <f>(O19/50)*10</f>
        <v>10</v>
      </c>
      <c r="Q19" s="13">
        <v>5</v>
      </c>
      <c r="R19" s="13">
        <v>18</v>
      </c>
      <c r="S19" s="8">
        <f t="shared" si="1"/>
        <v>23</v>
      </c>
      <c r="T19" s="71">
        <f t="shared" si="5"/>
        <v>11.5</v>
      </c>
      <c r="U19" s="137">
        <v>29.5</v>
      </c>
      <c r="V19" s="13">
        <f t="shared" si="10"/>
        <v>29.5</v>
      </c>
      <c r="W19" s="72">
        <f t="shared" si="6"/>
        <v>14.75</v>
      </c>
      <c r="X19" s="9">
        <f t="shared" si="7"/>
        <v>26.25</v>
      </c>
      <c r="Y19" s="9">
        <v>19</v>
      </c>
      <c r="Z19" s="9">
        <v>10</v>
      </c>
      <c r="AA19" s="9">
        <v>19</v>
      </c>
      <c r="AB19" s="9">
        <v>48</v>
      </c>
      <c r="AC19" s="73">
        <f t="shared" si="8"/>
        <v>48</v>
      </c>
      <c r="AD19" s="74">
        <f t="shared" si="9"/>
        <v>87.468390804597703</v>
      </c>
      <c r="AE19" s="19" t="str">
        <f>LOOKUP(AD19,{0,50,52,57,61,65,69,73,77,81,85},{"F","D","D+","C-","C","C+","B-","B","B+","A-","A"})</f>
        <v>A</v>
      </c>
      <c r="AF19" s="3"/>
    </row>
    <row r="20" spans="1:32" ht="18" customHeight="1" x14ac:dyDescent="0.25">
      <c r="A20" s="39">
        <v>12</v>
      </c>
      <c r="B20" s="40">
        <v>232202012</v>
      </c>
      <c r="C20" s="41" t="s">
        <v>33</v>
      </c>
      <c r="D20" s="13">
        <v>16</v>
      </c>
      <c r="E20" s="51">
        <v>0</v>
      </c>
      <c r="F20" s="62">
        <v>15</v>
      </c>
      <c r="G20" s="62">
        <v>10</v>
      </c>
      <c r="H20" s="58">
        <v>0</v>
      </c>
      <c r="I20" s="62">
        <v>3</v>
      </c>
      <c r="J20" s="5">
        <f t="shared" si="2"/>
        <v>44</v>
      </c>
      <c r="K20" s="68">
        <f t="shared" si="3"/>
        <v>5.0574712643678161</v>
      </c>
      <c r="L20" s="13">
        <v>6.5</v>
      </c>
      <c r="M20" s="13">
        <v>20</v>
      </c>
      <c r="N20" s="48">
        <v>16</v>
      </c>
      <c r="O20" s="4">
        <f t="shared" si="0"/>
        <v>42.5</v>
      </c>
      <c r="P20" s="70">
        <f t="shared" si="4"/>
        <v>8.5</v>
      </c>
      <c r="Q20" s="13">
        <v>5</v>
      </c>
      <c r="R20" s="13">
        <v>20</v>
      </c>
      <c r="S20" s="8">
        <f t="shared" si="1"/>
        <v>25</v>
      </c>
      <c r="T20" s="71">
        <f t="shared" si="5"/>
        <v>12.5</v>
      </c>
      <c r="U20" s="8">
        <v>30</v>
      </c>
      <c r="V20" s="13">
        <v>30</v>
      </c>
      <c r="W20" s="72">
        <f t="shared" si="6"/>
        <v>15</v>
      </c>
      <c r="X20" s="9">
        <f t="shared" si="7"/>
        <v>27.5</v>
      </c>
      <c r="Y20" s="9">
        <v>17.5</v>
      </c>
      <c r="Z20" s="9">
        <v>10</v>
      </c>
      <c r="AA20" s="9">
        <v>17.5</v>
      </c>
      <c r="AB20" s="9">
        <v>45.5</v>
      </c>
      <c r="AC20" s="73">
        <f t="shared" si="8"/>
        <v>45.5</v>
      </c>
      <c r="AD20" s="74">
        <f t="shared" si="9"/>
        <v>86.55747126436782</v>
      </c>
      <c r="AE20" s="19" t="str">
        <f>LOOKUP(AD20,{0,50,52,57,61,65,69,73,77,81,85},{"F","D","D+","C-","C","C+","B-","B","B+","A-","A"})</f>
        <v>A</v>
      </c>
      <c r="AF20" s="3"/>
    </row>
    <row r="21" spans="1:32" ht="18" customHeight="1" x14ac:dyDescent="0.25">
      <c r="A21" s="39">
        <v>13</v>
      </c>
      <c r="B21" s="40">
        <v>232202013</v>
      </c>
      <c r="C21" s="41" t="s">
        <v>34</v>
      </c>
      <c r="D21" s="13">
        <v>16</v>
      </c>
      <c r="E21" s="13">
        <v>5</v>
      </c>
      <c r="F21" s="62">
        <v>4</v>
      </c>
      <c r="G21" s="62">
        <v>7.5</v>
      </c>
      <c r="H21" s="59">
        <v>14.5</v>
      </c>
      <c r="I21" s="62">
        <v>10</v>
      </c>
      <c r="J21" s="5">
        <f t="shared" si="2"/>
        <v>57</v>
      </c>
      <c r="K21" s="68">
        <f t="shared" si="3"/>
        <v>6.5517241379310338</v>
      </c>
      <c r="L21" s="13">
        <v>9.5</v>
      </c>
      <c r="M21" s="47">
        <v>20</v>
      </c>
      <c r="N21" s="47">
        <v>20</v>
      </c>
      <c r="O21" s="4">
        <f t="shared" si="0"/>
        <v>49.5</v>
      </c>
      <c r="P21" s="70">
        <f t="shared" si="4"/>
        <v>9.9</v>
      </c>
      <c r="Q21" s="13">
        <v>7.5</v>
      </c>
      <c r="R21" s="13">
        <v>16.5</v>
      </c>
      <c r="S21" s="8">
        <f t="shared" si="1"/>
        <v>24</v>
      </c>
      <c r="T21" s="71">
        <f t="shared" si="5"/>
        <v>12</v>
      </c>
      <c r="U21" s="8">
        <v>30</v>
      </c>
      <c r="V21" s="13">
        <v>30</v>
      </c>
      <c r="W21" s="72">
        <f t="shared" si="6"/>
        <v>15</v>
      </c>
      <c r="X21" s="9">
        <f t="shared" si="7"/>
        <v>27</v>
      </c>
      <c r="Y21" s="9">
        <v>19</v>
      </c>
      <c r="Z21" s="9">
        <v>10</v>
      </c>
      <c r="AA21" s="9">
        <v>19</v>
      </c>
      <c r="AB21" s="9">
        <v>49</v>
      </c>
      <c r="AC21" s="73">
        <f t="shared" si="8"/>
        <v>49</v>
      </c>
      <c r="AD21" s="74">
        <f t="shared" si="9"/>
        <v>92.451724137931038</v>
      </c>
      <c r="AE21" s="19" t="str">
        <f>LOOKUP(AD21,{0,50,52,57,61,65,69,73,77,81,85},{"F","D","D+","C-","C","C+","B-","B","B+","A-","A"})</f>
        <v>A</v>
      </c>
      <c r="AF21" s="3"/>
    </row>
    <row r="22" spans="1:32" ht="18" customHeight="1" x14ac:dyDescent="0.25">
      <c r="A22" s="39">
        <v>14</v>
      </c>
      <c r="B22" s="40">
        <v>232202014</v>
      </c>
      <c r="C22" s="42" t="s">
        <v>35</v>
      </c>
      <c r="D22" s="13">
        <v>18</v>
      </c>
      <c r="E22" s="13">
        <v>9</v>
      </c>
      <c r="F22" s="58">
        <v>0</v>
      </c>
      <c r="G22" s="62">
        <v>3</v>
      </c>
      <c r="H22" s="62">
        <v>8.5</v>
      </c>
      <c r="I22" s="62">
        <v>6</v>
      </c>
      <c r="J22" s="5">
        <f t="shared" si="2"/>
        <v>44.5</v>
      </c>
      <c r="K22" s="68">
        <f t="shared" si="3"/>
        <v>5.1149425287356323</v>
      </c>
      <c r="L22" s="13">
        <v>10</v>
      </c>
      <c r="M22" s="13">
        <v>20</v>
      </c>
      <c r="N22" s="13">
        <v>20</v>
      </c>
      <c r="O22" s="4">
        <f t="shared" si="0"/>
        <v>50</v>
      </c>
      <c r="P22" s="70">
        <f t="shared" si="4"/>
        <v>10</v>
      </c>
      <c r="Q22" s="13">
        <v>10</v>
      </c>
      <c r="R22" s="13">
        <v>5</v>
      </c>
      <c r="S22" s="8">
        <f t="shared" si="1"/>
        <v>15</v>
      </c>
      <c r="T22" s="71">
        <f t="shared" si="5"/>
        <v>7.5</v>
      </c>
      <c r="U22" s="8">
        <v>25</v>
      </c>
      <c r="V22" s="13">
        <f t="shared" si="10"/>
        <v>25</v>
      </c>
      <c r="W22" s="72">
        <f t="shared" si="6"/>
        <v>12.5</v>
      </c>
      <c r="X22" s="9">
        <f t="shared" si="7"/>
        <v>20</v>
      </c>
      <c r="Y22" s="9">
        <v>13.5</v>
      </c>
      <c r="Z22" s="9">
        <v>10</v>
      </c>
      <c r="AA22" s="9">
        <v>14</v>
      </c>
      <c r="AB22" s="9">
        <v>37.5</v>
      </c>
      <c r="AC22" s="73">
        <f t="shared" si="8"/>
        <v>37.5</v>
      </c>
      <c r="AD22" s="74">
        <f t="shared" si="9"/>
        <v>72.614942528735639</v>
      </c>
      <c r="AE22" s="19" t="str">
        <f>LOOKUP(AD22,{0,50,52,57,61,65,69,73,77,81,85},{"F","D","D+","C-","C","C+","B-","B","B+","A-","A"})</f>
        <v>B-</v>
      </c>
      <c r="AF22" s="3"/>
    </row>
    <row r="23" spans="1:32" ht="18" customHeight="1" x14ac:dyDescent="0.25">
      <c r="A23" s="39">
        <v>15</v>
      </c>
      <c r="B23" s="40">
        <v>232202015</v>
      </c>
      <c r="C23" s="42" t="s">
        <v>36</v>
      </c>
      <c r="D23" s="13">
        <v>10</v>
      </c>
      <c r="E23" s="13">
        <v>5</v>
      </c>
      <c r="F23" s="58">
        <v>0</v>
      </c>
      <c r="G23" s="62">
        <v>2</v>
      </c>
      <c r="H23" s="62">
        <v>10.5</v>
      </c>
      <c r="I23" s="62">
        <v>10</v>
      </c>
      <c r="J23" s="5">
        <f t="shared" si="2"/>
        <v>37.5</v>
      </c>
      <c r="K23" s="68">
        <f t="shared" si="3"/>
        <v>4.3103448275862064</v>
      </c>
      <c r="L23" s="13">
        <v>7.5</v>
      </c>
      <c r="M23" s="13">
        <v>18</v>
      </c>
      <c r="N23" s="13">
        <v>20</v>
      </c>
      <c r="O23" s="4">
        <f t="shared" si="0"/>
        <v>45.5</v>
      </c>
      <c r="P23" s="70">
        <f t="shared" si="4"/>
        <v>9.1</v>
      </c>
      <c r="Q23" s="13">
        <v>7.5</v>
      </c>
      <c r="R23" s="13">
        <v>12.5</v>
      </c>
      <c r="S23" s="8">
        <f t="shared" si="1"/>
        <v>20</v>
      </c>
      <c r="T23" s="71">
        <f t="shared" si="5"/>
        <v>10</v>
      </c>
      <c r="U23" s="55">
        <v>17</v>
      </c>
      <c r="V23" s="13">
        <v>17</v>
      </c>
      <c r="W23" s="72">
        <f t="shared" si="6"/>
        <v>8.5</v>
      </c>
      <c r="X23" s="9">
        <f t="shared" si="7"/>
        <v>18.5</v>
      </c>
      <c r="Y23" s="9">
        <v>14.5</v>
      </c>
      <c r="Z23" s="9">
        <v>10</v>
      </c>
      <c r="AA23" s="9">
        <v>14.5</v>
      </c>
      <c r="AB23" s="9">
        <v>39</v>
      </c>
      <c r="AC23" s="73">
        <f t="shared" si="8"/>
        <v>39</v>
      </c>
      <c r="AD23" s="74">
        <f t="shared" si="9"/>
        <v>70.910344827586215</v>
      </c>
      <c r="AE23" s="19" t="str">
        <f>LOOKUP(AD23,{0,50,52,57,61,65,69,73,77,81,85},{"F","D","D+","C-","C","C+","B-","B","B+","A-","A"})</f>
        <v>B-</v>
      </c>
      <c r="AF23" s="3"/>
    </row>
    <row r="24" spans="1:32" ht="18" customHeight="1" x14ac:dyDescent="0.25">
      <c r="A24" s="39">
        <v>16</v>
      </c>
      <c r="B24" s="40">
        <v>232202016</v>
      </c>
      <c r="C24" s="42" t="s">
        <v>37</v>
      </c>
      <c r="D24" s="47">
        <v>20</v>
      </c>
      <c r="E24" s="13">
        <v>4</v>
      </c>
      <c r="F24" s="58">
        <v>0</v>
      </c>
      <c r="G24" s="62">
        <v>6</v>
      </c>
      <c r="H24" s="58">
        <v>0</v>
      </c>
      <c r="I24" s="62">
        <v>3</v>
      </c>
      <c r="J24" s="5">
        <f t="shared" si="2"/>
        <v>33</v>
      </c>
      <c r="K24" s="68">
        <f t="shared" si="3"/>
        <v>3.7931034482758621</v>
      </c>
      <c r="L24" s="13">
        <v>8.5</v>
      </c>
      <c r="M24" s="48">
        <v>16</v>
      </c>
      <c r="N24" s="13">
        <v>17</v>
      </c>
      <c r="O24" s="4">
        <f t="shared" si="0"/>
        <v>41.5</v>
      </c>
      <c r="P24" s="70">
        <f t="shared" si="4"/>
        <v>8.2999999999999989</v>
      </c>
      <c r="Q24" s="13">
        <v>6.5</v>
      </c>
      <c r="R24" s="13">
        <v>12</v>
      </c>
      <c r="S24" s="8">
        <f t="shared" si="1"/>
        <v>18.5</v>
      </c>
      <c r="T24" s="71">
        <f t="shared" si="5"/>
        <v>9.25</v>
      </c>
      <c r="U24" s="8">
        <v>29</v>
      </c>
      <c r="V24" s="13">
        <v>29</v>
      </c>
      <c r="W24" s="72">
        <f t="shared" si="6"/>
        <v>14.5</v>
      </c>
      <c r="X24" s="9">
        <f t="shared" si="7"/>
        <v>23.75</v>
      </c>
      <c r="Y24" s="9">
        <v>15.5</v>
      </c>
      <c r="Z24" s="9">
        <v>10</v>
      </c>
      <c r="AA24" s="9">
        <v>15.5</v>
      </c>
      <c r="AB24" s="9">
        <v>41</v>
      </c>
      <c r="AC24" s="73">
        <f t="shared" si="8"/>
        <v>41</v>
      </c>
      <c r="AD24" s="74">
        <f t="shared" si="9"/>
        <v>76.843103448275855</v>
      </c>
      <c r="AE24" s="19" t="str">
        <f>LOOKUP(AD24,{0,50,52,57,61,65,69,73,77,81,85},{"F","D","D+","C-","C","C+","B-","B","B+","A-","A"})</f>
        <v>B</v>
      </c>
      <c r="AF24" s="3"/>
    </row>
    <row r="25" spans="1:32" ht="18" customHeight="1" x14ac:dyDescent="0.25">
      <c r="A25" s="39">
        <v>17</v>
      </c>
      <c r="B25" s="40">
        <v>232202017</v>
      </c>
      <c r="C25" s="42" t="s">
        <v>38</v>
      </c>
      <c r="D25" s="13">
        <v>12</v>
      </c>
      <c r="E25" s="13">
        <v>7</v>
      </c>
      <c r="F25" s="62">
        <v>8.5</v>
      </c>
      <c r="G25" s="62">
        <v>3.5</v>
      </c>
      <c r="H25" s="60">
        <v>5</v>
      </c>
      <c r="I25" s="62">
        <v>5</v>
      </c>
      <c r="J25" s="5">
        <f t="shared" si="2"/>
        <v>41</v>
      </c>
      <c r="K25" s="68">
        <f t="shared" si="3"/>
        <v>4.7126436781609193</v>
      </c>
      <c r="L25" s="13">
        <v>10</v>
      </c>
      <c r="M25" s="13">
        <v>18</v>
      </c>
      <c r="N25" s="13">
        <v>20</v>
      </c>
      <c r="O25" s="4">
        <f t="shared" si="0"/>
        <v>48</v>
      </c>
      <c r="P25" s="70">
        <f t="shared" si="4"/>
        <v>9.6</v>
      </c>
      <c r="Q25" s="13">
        <v>10</v>
      </c>
      <c r="R25" s="13">
        <v>13</v>
      </c>
      <c r="S25" s="8">
        <f t="shared" si="1"/>
        <v>23</v>
      </c>
      <c r="T25" s="71">
        <f t="shared" si="5"/>
        <v>11.5</v>
      </c>
      <c r="U25" s="8">
        <v>28</v>
      </c>
      <c r="V25" s="13">
        <v>28</v>
      </c>
      <c r="W25" s="72">
        <f t="shared" si="6"/>
        <v>14</v>
      </c>
      <c r="X25" s="9">
        <f t="shared" si="7"/>
        <v>25.5</v>
      </c>
      <c r="Y25" s="9">
        <v>14.5</v>
      </c>
      <c r="Z25" s="9">
        <v>10</v>
      </c>
      <c r="AA25" s="9">
        <v>14.5</v>
      </c>
      <c r="AB25" s="9">
        <v>39</v>
      </c>
      <c r="AC25" s="73">
        <f t="shared" si="8"/>
        <v>39</v>
      </c>
      <c r="AD25" s="74">
        <f t="shared" si="9"/>
        <v>78.812643678160924</v>
      </c>
      <c r="AE25" s="19" t="str">
        <f>LOOKUP(AD25,{0,50,52,57,61,65,69,73,77,81,85},{"F","D","D+","C-","C","C+","B-","B","B+","A-","A"})</f>
        <v>B+</v>
      </c>
      <c r="AF25" s="3"/>
    </row>
    <row r="26" spans="1:32" ht="18" customHeight="1" x14ac:dyDescent="0.25">
      <c r="A26" s="39">
        <v>18</v>
      </c>
      <c r="B26" s="40">
        <v>232202018</v>
      </c>
      <c r="C26" s="42" t="s">
        <v>39</v>
      </c>
      <c r="D26" s="13">
        <v>20</v>
      </c>
      <c r="E26" s="51">
        <v>0</v>
      </c>
      <c r="F26" s="62">
        <v>0</v>
      </c>
      <c r="G26" s="62">
        <v>0</v>
      </c>
      <c r="H26" s="58">
        <v>0</v>
      </c>
      <c r="I26" s="62">
        <v>3</v>
      </c>
      <c r="J26" s="5">
        <f t="shared" si="2"/>
        <v>23</v>
      </c>
      <c r="K26" s="68">
        <f t="shared" si="3"/>
        <v>2.6436781609195403</v>
      </c>
      <c r="L26" s="50">
        <v>8</v>
      </c>
      <c r="M26" s="13">
        <v>20</v>
      </c>
      <c r="N26" s="13">
        <v>20</v>
      </c>
      <c r="O26" s="4">
        <f t="shared" si="0"/>
        <v>48</v>
      </c>
      <c r="P26" s="70">
        <f t="shared" si="4"/>
        <v>9.6</v>
      </c>
      <c r="Q26" s="13">
        <v>3</v>
      </c>
      <c r="R26" s="13">
        <v>12.5</v>
      </c>
      <c r="S26" s="8">
        <f t="shared" si="1"/>
        <v>15.5</v>
      </c>
      <c r="T26" s="71">
        <f t="shared" si="5"/>
        <v>7.7500000000000009</v>
      </c>
      <c r="U26" s="8">
        <v>26</v>
      </c>
      <c r="V26" s="13">
        <v>26</v>
      </c>
      <c r="W26" s="72">
        <f t="shared" si="6"/>
        <v>13</v>
      </c>
      <c r="X26" s="9">
        <f t="shared" si="7"/>
        <v>20.75</v>
      </c>
      <c r="Y26" s="9">
        <v>12.5</v>
      </c>
      <c r="Z26" s="9">
        <v>10</v>
      </c>
      <c r="AA26" s="9">
        <v>12.5</v>
      </c>
      <c r="AB26" s="9">
        <v>35</v>
      </c>
      <c r="AC26" s="73">
        <f t="shared" si="8"/>
        <v>35</v>
      </c>
      <c r="AD26" s="74">
        <f t="shared" si="9"/>
        <v>67.993678160919544</v>
      </c>
      <c r="AE26" s="19" t="str">
        <f>LOOKUP(AD26,{0,50,52,57,61,65,69,73,77,81,85},{"F","D","D+","C-","C","C+","B-","B","B+","A-","A"})</f>
        <v>C+</v>
      </c>
      <c r="AF26" s="3"/>
    </row>
    <row r="27" spans="1:32" ht="18" customHeight="1" x14ac:dyDescent="0.25">
      <c r="A27" s="39">
        <v>19</v>
      </c>
      <c r="B27" s="40">
        <v>232202020</v>
      </c>
      <c r="C27" s="41" t="s">
        <v>40</v>
      </c>
      <c r="D27" s="13">
        <v>18</v>
      </c>
      <c r="E27" s="13">
        <v>6.5</v>
      </c>
      <c r="F27" s="62">
        <v>18.5</v>
      </c>
      <c r="G27" s="62">
        <v>5</v>
      </c>
      <c r="H27" s="58">
        <v>0</v>
      </c>
      <c r="I27" s="62">
        <v>3</v>
      </c>
      <c r="J27" s="5">
        <f t="shared" si="2"/>
        <v>51</v>
      </c>
      <c r="K27" s="68">
        <f t="shared" si="3"/>
        <v>5.8620689655172411</v>
      </c>
      <c r="L27" s="13">
        <v>9</v>
      </c>
      <c r="M27" s="13">
        <v>16</v>
      </c>
      <c r="N27" s="13">
        <v>20</v>
      </c>
      <c r="O27" s="4">
        <f t="shared" si="0"/>
        <v>45</v>
      </c>
      <c r="P27" s="70">
        <f t="shared" si="4"/>
        <v>9</v>
      </c>
      <c r="Q27" s="13">
        <v>6</v>
      </c>
      <c r="R27" s="13">
        <v>12.5</v>
      </c>
      <c r="S27" s="8">
        <f t="shared" si="1"/>
        <v>18.5</v>
      </c>
      <c r="T27" s="71">
        <f t="shared" si="5"/>
        <v>9.25</v>
      </c>
      <c r="U27" s="8">
        <v>29.5</v>
      </c>
      <c r="V27" s="13">
        <v>29.5</v>
      </c>
      <c r="W27" s="72">
        <f t="shared" si="6"/>
        <v>14.75</v>
      </c>
      <c r="X27" s="9">
        <f t="shared" si="7"/>
        <v>24</v>
      </c>
      <c r="Y27" s="9">
        <v>16</v>
      </c>
      <c r="Z27" s="9">
        <v>10</v>
      </c>
      <c r="AA27" s="9">
        <v>16.5</v>
      </c>
      <c r="AB27" s="9">
        <v>42.5</v>
      </c>
      <c r="AC27" s="73">
        <f t="shared" si="8"/>
        <v>42.5</v>
      </c>
      <c r="AD27" s="74">
        <f t="shared" si="9"/>
        <v>81.362068965517238</v>
      </c>
      <c r="AE27" s="19" t="str">
        <f>LOOKUP(AD27,{0,50,52,57,61,65,69,73,77,81,85},{"F","D","D+","C-","C","C+","B-","B","B+","A-","A"})</f>
        <v>A-</v>
      </c>
      <c r="AF27" s="3"/>
    </row>
    <row r="28" spans="1:32" ht="18" customHeight="1" x14ac:dyDescent="0.25">
      <c r="A28" s="39">
        <v>20</v>
      </c>
      <c r="B28" s="40">
        <v>232202021</v>
      </c>
      <c r="C28" s="41" t="s">
        <v>41</v>
      </c>
      <c r="D28" s="13">
        <v>18</v>
      </c>
      <c r="E28" s="13">
        <v>7</v>
      </c>
      <c r="F28" s="62">
        <v>19</v>
      </c>
      <c r="G28" s="62">
        <v>1</v>
      </c>
      <c r="H28" s="58">
        <v>0</v>
      </c>
      <c r="I28" s="62">
        <v>3</v>
      </c>
      <c r="J28" s="5">
        <f t="shared" si="2"/>
        <v>48</v>
      </c>
      <c r="K28" s="68">
        <f t="shared" si="3"/>
        <v>5.5172413793103452</v>
      </c>
      <c r="L28" s="13">
        <v>6</v>
      </c>
      <c r="M28" s="13">
        <v>16</v>
      </c>
      <c r="N28" s="13">
        <v>17</v>
      </c>
      <c r="O28" s="4">
        <f t="shared" si="0"/>
        <v>39</v>
      </c>
      <c r="P28" s="70">
        <f t="shared" si="4"/>
        <v>7.8000000000000007</v>
      </c>
      <c r="Q28" s="13">
        <v>6</v>
      </c>
      <c r="R28" s="13">
        <v>19</v>
      </c>
      <c r="S28" s="8">
        <f t="shared" si="1"/>
        <v>25</v>
      </c>
      <c r="T28" s="71">
        <f t="shared" si="5"/>
        <v>12.5</v>
      </c>
      <c r="U28" s="8">
        <v>29</v>
      </c>
      <c r="V28" s="13">
        <v>29</v>
      </c>
      <c r="W28" s="72">
        <f t="shared" si="6"/>
        <v>14.5</v>
      </c>
      <c r="X28" s="9">
        <f t="shared" si="7"/>
        <v>27</v>
      </c>
      <c r="Y28" s="9">
        <v>10.5</v>
      </c>
      <c r="Z28" s="9">
        <v>8</v>
      </c>
      <c r="AA28" s="9">
        <v>10.5</v>
      </c>
      <c r="AB28" s="81">
        <v>29</v>
      </c>
      <c r="AC28" s="73">
        <f t="shared" si="8"/>
        <v>28.999999999999996</v>
      </c>
      <c r="AD28" s="74">
        <f t="shared" si="9"/>
        <v>69.317241379310346</v>
      </c>
      <c r="AE28" s="19" t="str">
        <f>LOOKUP(AD28,{0,50,52,57,61,65,69,73,77,81,85},{"F","D","D+","C-","C","C+","B-","B","B+","A-","A"})</f>
        <v>B-</v>
      </c>
      <c r="AF28" s="3"/>
    </row>
    <row r="29" spans="1:32" ht="18" customHeight="1" x14ac:dyDescent="0.25">
      <c r="A29" s="39">
        <v>21</v>
      </c>
      <c r="B29" s="40">
        <v>232202022</v>
      </c>
      <c r="C29" s="41" t="s">
        <v>42</v>
      </c>
      <c r="D29" s="13">
        <v>18</v>
      </c>
      <c r="E29" s="47">
        <v>9.5</v>
      </c>
      <c r="F29" s="62">
        <v>12.5</v>
      </c>
      <c r="G29" s="62">
        <v>10</v>
      </c>
      <c r="H29" s="58">
        <v>0</v>
      </c>
      <c r="I29" s="60">
        <v>4</v>
      </c>
      <c r="J29" s="5">
        <f t="shared" si="2"/>
        <v>54</v>
      </c>
      <c r="K29" s="68">
        <f t="shared" si="3"/>
        <v>6.2068965517241379</v>
      </c>
      <c r="L29" s="13">
        <v>9</v>
      </c>
      <c r="M29" s="13">
        <v>16</v>
      </c>
      <c r="N29" s="13">
        <v>17</v>
      </c>
      <c r="O29" s="4">
        <f t="shared" si="0"/>
        <v>42</v>
      </c>
      <c r="P29" s="70">
        <f t="shared" si="4"/>
        <v>8.4</v>
      </c>
      <c r="Q29" s="13">
        <v>8</v>
      </c>
      <c r="R29" s="13">
        <v>19</v>
      </c>
      <c r="S29" s="8">
        <f t="shared" si="1"/>
        <v>27</v>
      </c>
      <c r="T29" s="71">
        <f t="shared" si="5"/>
        <v>13.5</v>
      </c>
      <c r="U29" s="8">
        <v>30</v>
      </c>
      <c r="V29" s="13">
        <v>30</v>
      </c>
      <c r="W29" s="72">
        <f t="shared" si="6"/>
        <v>15</v>
      </c>
      <c r="X29" s="9">
        <f t="shared" si="7"/>
        <v>28.5</v>
      </c>
      <c r="Y29" s="9">
        <v>17.5</v>
      </c>
      <c r="Z29" s="9">
        <v>10</v>
      </c>
      <c r="AA29" s="9">
        <v>17.5</v>
      </c>
      <c r="AB29" s="9">
        <v>45</v>
      </c>
      <c r="AC29" s="73">
        <f t="shared" si="8"/>
        <v>45</v>
      </c>
      <c r="AD29" s="74">
        <f t="shared" si="9"/>
        <v>88.106896551724134</v>
      </c>
      <c r="AE29" s="19" t="str">
        <f>LOOKUP(AD29,{0,50,52,57,61,65,69,73,77,81,85},{"F","D","D+","C-","C","C+","B-","B","B+","A-","A"})</f>
        <v>A</v>
      </c>
      <c r="AF29" s="3"/>
    </row>
    <row r="30" spans="1:32" x14ac:dyDescent="0.25">
      <c r="A30" s="39">
        <v>22</v>
      </c>
      <c r="B30" s="40">
        <v>232202023</v>
      </c>
      <c r="C30" s="42" t="s">
        <v>43</v>
      </c>
      <c r="D30" s="13">
        <v>14</v>
      </c>
      <c r="E30" s="51">
        <v>0</v>
      </c>
      <c r="F30" s="62">
        <v>6</v>
      </c>
      <c r="G30" s="62">
        <v>0</v>
      </c>
      <c r="H30" s="58">
        <v>0</v>
      </c>
      <c r="I30" s="62">
        <v>3</v>
      </c>
      <c r="J30" s="5">
        <f t="shared" si="2"/>
        <v>23</v>
      </c>
      <c r="K30" s="68">
        <f t="shared" si="3"/>
        <v>2.6436781609195403</v>
      </c>
      <c r="L30" s="13">
        <v>8</v>
      </c>
      <c r="M30" s="13">
        <v>18</v>
      </c>
      <c r="N30" s="13">
        <v>17</v>
      </c>
      <c r="O30" s="4">
        <f t="shared" si="0"/>
        <v>43</v>
      </c>
      <c r="P30" s="70">
        <f t="shared" si="4"/>
        <v>8.6</v>
      </c>
      <c r="Q30" s="13">
        <v>5</v>
      </c>
      <c r="R30" s="13">
        <v>14</v>
      </c>
      <c r="S30" s="8">
        <f t="shared" si="1"/>
        <v>19</v>
      </c>
      <c r="T30" s="71">
        <f t="shared" si="5"/>
        <v>9.5</v>
      </c>
      <c r="U30" s="8">
        <v>29.5</v>
      </c>
      <c r="V30" s="13">
        <v>29.5</v>
      </c>
      <c r="W30" s="72">
        <f t="shared" si="6"/>
        <v>14.75</v>
      </c>
      <c r="X30" s="9">
        <f t="shared" si="7"/>
        <v>24.25</v>
      </c>
      <c r="Y30" s="9">
        <v>10</v>
      </c>
      <c r="Z30" s="9">
        <v>10</v>
      </c>
      <c r="AA30" s="9">
        <v>11.5</v>
      </c>
      <c r="AB30" s="9">
        <v>31.5</v>
      </c>
      <c r="AC30" s="73">
        <f t="shared" si="8"/>
        <v>31.5</v>
      </c>
      <c r="AD30" s="74">
        <f t="shared" si="9"/>
        <v>66.993678160919544</v>
      </c>
      <c r="AE30" s="19" t="str">
        <f>LOOKUP(AD30,{0,50,52,57,61,65,69,73,77,81,85},{"F","D","D+","C-","C","C+","B-","B","B+","A-","A"})</f>
        <v>C+</v>
      </c>
      <c r="AF30" s="3"/>
    </row>
    <row r="31" spans="1:32" ht="18" customHeight="1" x14ac:dyDescent="0.25">
      <c r="A31" s="39">
        <v>23</v>
      </c>
      <c r="B31" s="40">
        <v>232202024</v>
      </c>
      <c r="C31" s="41" t="s">
        <v>44</v>
      </c>
      <c r="D31" s="13">
        <v>10</v>
      </c>
      <c r="E31" s="51">
        <v>0</v>
      </c>
      <c r="F31" s="62">
        <v>20</v>
      </c>
      <c r="G31" s="62">
        <v>0</v>
      </c>
      <c r="H31" s="62">
        <v>6.5</v>
      </c>
      <c r="I31" s="62">
        <v>2.5</v>
      </c>
      <c r="J31" s="5">
        <f t="shared" si="2"/>
        <v>39</v>
      </c>
      <c r="K31" s="68">
        <f t="shared" si="3"/>
        <v>4.4827586206896548</v>
      </c>
      <c r="L31" s="13">
        <v>10</v>
      </c>
      <c r="M31" s="13">
        <v>20</v>
      </c>
      <c r="N31" s="13">
        <v>20</v>
      </c>
      <c r="O31" s="4">
        <f t="shared" si="0"/>
        <v>50</v>
      </c>
      <c r="P31" s="70">
        <f t="shared" si="4"/>
        <v>10</v>
      </c>
      <c r="Q31" s="13">
        <v>3</v>
      </c>
      <c r="R31" s="13">
        <v>13</v>
      </c>
      <c r="S31" s="8">
        <f t="shared" si="1"/>
        <v>16</v>
      </c>
      <c r="T31" s="71">
        <f t="shared" si="5"/>
        <v>8</v>
      </c>
      <c r="U31" s="8">
        <v>24</v>
      </c>
      <c r="V31" s="13">
        <f t="shared" si="10"/>
        <v>24</v>
      </c>
      <c r="W31" s="72">
        <f t="shared" si="6"/>
        <v>12</v>
      </c>
      <c r="X31" s="9">
        <f t="shared" si="7"/>
        <v>20</v>
      </c>
      <c r="Y31" s="9">
        <v>12.5</v>
      </c>
      <c r="Z31" s="9">
        <v>10</v>
      </c>
      <c r="AA31" s="9">
        <v>13</v>
      </c>
      <c r="AB31" s="9">
        <v>35.5</v>
      </c>
      <c r="AC31" s="73">
        <f t="shared" si="8"/>
        <v>35.5</v>
      </c>
      <c r="AD31" s="74">
        <f t="shared" si="9"/>
        <v>69.982758620689651</v>
      </c>
      <c r="AE31" s="19" t="str">
        <f>LOOKUP(AD31,{0,50,52,57,61,65,69,73,77,81,85},{"F","D","D+","C-","C","C+","B-","B","B+","A-","A"})</f>
        <v>B-</v>
      </c>
      <c r="AF31" s="3"/>
    </row>
    <row r="32" spans="1:32" ht="18" customHeight="1" x14ac:dyDescent="0.25">
      <c r="A32" s="39">
        <v>24</v>
      </c>
      <c r="B32" s="40">
        <v>232202025</v>
      </c>
      <c r="C32" s="42" t="s">
        <v>45</v>
      </c>
      <c r="D32" s="13">
        <v>16</v>
      </c>
      <c r="E32" s="13">
        <v>6</v>
      </c>
      <c r="F32" s="62">
        <v>0</v>
      </c>
      <c r="G32" s="62">
        <v>0</v>
      </c>
      <c r="H32" s="62">
        <v>12.5</v>
      </c>
      <c r="I32" s="62">
        <v>1</v>
      </c>
      <c r="J32" s="5">
        <f t="shared" si="2"/>
        <v>35.5</v>
      </c>
      <c r="K32" s="68">
        <f t="shared" si="3"/>
        <v>4.0804597701149428</v>
      </c>
      <c r="L32" s="13">
        <v>9</v>
      </c>
      <c r="M32" s="13">
        <v>20</v>
      </c>
      <c r="N32" s="13">
        <v>16</v>
      </c>
      <c r="O32" s="4">
        <f t="shared" si="0"/>
        <v>45</v>
      </c>
      <c r="P32" s="70">
        <f t="shared" si="4"/>
        <v>9</v>
      </c>
      <c r="Q32" s="13">
        <v>8</v>
      </c>
      <c r="R32" s="13">
        <v>19</v>
      </c>
      <c r="S32" s="8">
        <f t="shared" si="1"/>
        <v>27</v>
      </c>
      <c r="T32" s="71">
        <f t="shared" si="5"/>
        <v>13.5</v>
      </c>
      <c r="U32" s="63">
        <v>26</v>
      </c>
      <c r="V32" s="13">
        <f t="shared" si="10"/>
        <v>26</v>
      </c>
      <c r="W32" s="72">
        <f t="shared" si="6"/>
        <v>13</v>
      </c>
      <c r="X32" s="9">
        <f t="shared" si="7"/>
        <v>26.5</v>
      </c>
      <c r="Y32" s="9">
        <v>16.5</v>
      </c>
      <c r="Z32" s="9">
        <v>10</v>
      </c>
      <c r="AA32" s="9">
        <v>16.5</v>
      </c>
      <c r="AB32" s="9">
        <v>43</v>
      </c>
      <c r="AC32" s="73">
        <f t="shared" si="8"/>
        <v>43</v>
      </c>
      <c r="AD32" s="74">
        <f t="shared" si="9"/>
        <v>82.580459770114942</v>
      </c>
      <c r="AE32" s="19" t="str">
        <f>LOOKUP(AD32,{0,50,52,57,61,65,69,73,77,81,85},{"F","D","D+","C-","C","C+","B-","B","B+","A-","A"})</f>
        <v>A-</v>
      </c>
      <c r="AF32" s="3"/>
    </row>
    <row r="33" spans="1:32" ht="18" customHeight="1" x14ac:dyDescent="0.25">
      <c r="A33" s="39">
        <v>25</v>
      </c>
      <c r="B33" s="40">
        <v>232202027</v>
      </c>
      <c r="C33" s="42" t="s">
        <v>46</v>
      </c>
      <c r="D33" s="48">
        <v>8</v>
      </c>
      <c r="E33" s="13">
        <v>8</v>
      </c>
      <c r="F33" s="62">
        <v>20</v>
      </c>
      <c r="G33" s="62">
        <v>1</v>
      </c>
      <c r="H33" s="62">
        <v>8.5</v>
      </c>
      <c r="I33" s="58">
        <v>0</v>
      </c>
      <c r="J33" s="5">
        <f t="shared" si="2"/>
        <v>45.5</v>
      </c>
      <c r="K33" s="68">
        <f t="shared" si="3"/>
        <v>5.2298850574712645</v>
      </c>
      <c r="L33" s="13">
        <v>10</v>
      </c>
      <c r="M33" s="13">
        <v>20</v>
      </c>
      <c r="N33" s="13">
        <v>20</v>
      </c>
      <c r="O33" s="4">
        <f t="shared" si="0"/>
        <v>50</v>
      </c>
      <c r="P33" s="70">
        <f t="shared" si="4"/>
        <v>10</v>
      </c>
      <c r="Q33" s="13">
        <v>8</v>
      </c>
      <c r="R33" s="13">
        <v>7.5</v>
      </c>
      <c r="S33" s="8">
        <f t="shared" si="1"/>
        <v>15.5</v>
      </c>
      <c r="T33" s="71">
        <f t="shared" si="5"/>
        <v>7.7500000000000009</v>
      </c>
      <c r="U33" s="8">
        <v>26</v>
      </c>
      <c r="V33" s="13">
        <v>26</v>
      </c>
      <c r="W33" s="72">
        <f t="shared" si="6"/>
        <v>13</v>
      </c>
      <c r="X33" s="9">
        <f t="shared" si="7"/>
        <v>20.75</v>
      </c>
      <c r="Y33" s="9">
        <v>10</v>
      </c>
      <c r="Z33" s="9">
        <v>6</v>
      </c>
      <c r="AA33" s="9">
        <v>10.5</v>
      </c>
      <c r="AB33" s="9">
        <v>26.5</v>
      </c>
      <c r="AC33" s="73">
        <f t="shared" si="8"/>
        <v>26.5</v>
      </c>
      <c r="AD33" s="74">
        <f t="shared" si="9"/>
        <v>62.479885057471265</v>
      </c>
      <c r="AE33" s="19" t="str">
        <f>LOOKUP(AD33,{0,50,52,57,61,65,69,73,77,81,85},{"F","D","D+","C-","C","C+","B-","B","B+","A-","A"})</f>
        <v>C</v>
      </c>
      <c r="AF33" s="3"/>
    </row>
    <row r="34" spans="1:32" ht="18" customHeight="1" x14ac:dyDescent="0.25">
      <c r="A34" s="39">
        <v>26</v>
      </c>
      <c r="B34" s="40">
        <v>232202028</v>
      </c>
      <c r="C34" s="42" t="s">
        <v>47</v>
      </c>
      <c r="D34" s="13">
        <v>14</v>
      </c>
      <c r="E34" s="50">
        <v>3.5</v>
      </c>
      <c r="F34" s="62">
        <v>7</v>
      </c>
      <c r="G34" s="62">
        <v>0</v>
      </c>
      <c r="H34" s="62">
        <v>8</v>
      </c>
      <c r="I34" s="62">
        <v>7</v>
      </c>
      <c r="J34" s="5">
        <f t="shared" si="2"/>
        <v>39.5</v>
      </c>
      <c r="K34" s="68">
        <f t="shared" si="3"/>
        <v>4.5402298850574709</v>
      </c>
      <c r="L34" s="13">
        <v>7.5</v>
      </c>
      <c r="M34" s="13">
        <v>20</v>
      </c>
      <c r="N34" s="13">
        <v>20</v>
      </c>
      <c r="O34" s="4">
        <f t="shared" si="0"/>
        <v>47.5</v>
      </c>
      <c r="P34" s="70">
        <f t="shared" si="4"/>
        <v>9.5</v>
      </c>
      <c r="Q34" s="13">
        <v>8</v>
      </c>
      <c r="R34" s="13">
        <v>10</v>
      </c>
      <c r="S34" s="8">
        <f t="shared" si="1"/>
        <v>18</v>
      </c>
      <c r="T34" s="71">
        <f t="shared" si="5"/>
        <v>9</v>
      </c>
      <c r="U34" s="8">
        <v>28</v>
      </c>
      <c r="V34" s="13">
        <f t="shared" si="10"/>
        <v>28</v>
      </c>
      <c r="W34" s="72">
        <f t="shared" si="6"/>
        <v>14</v>
      </c>
      <c r="X34" s="9">
        <f t="shared" si="7"/>
        <v>23</v>
      </c>
      <c r="Y34" s="9">
        <v>15.5</v>
      </c>
      <c r="Z34" s="9">
        <v>10</v>
      </c>
      <c r="AA34" s="9">
        <v>15.5</v>
      </c>
      <c r="AB34" s="155">
        <v>41</v>
      </c>
      <c r="AC34" s="73">
        <f t="shared" si="8"/>
        <v>41</v>
      </c>
      <c r="AD34" s="74">
        <f t="shared" si="9"/>
        <v>78.040229885057471</v>
      </c>
      <c r="AE34" s="19" t="str">
        <f>LOOKUP(AD34,{0,50,52,57,61,65,69,73,77,81,85},{"F","D","D+","C-","C","C+","B-","B","B+","A-","A"})</f>
        <v>B+</v>
      </c>
      <c r="AF34" s="3"/>
    </row>
    <row r="35" spans="1:32" ht="18" customHeight="1" x14ac:dyDescent="0.25">
      <c r="A35" s="39">
        <v>27</v>
      </c>
      <c r="B35" s="40">
        <v>232202029</v>
      </c>
      <c r="C35" s="41" t="s">
        <v>48</v>
      </c>
      <c r="D35" s="13">
        <v>10</v>
      </c>
      <c r="E35" s="13">
        <v>6</v>
      </c>
      <c r="F35" s="62">
        <v>12</v>
      </c>
      <c r="G35" s="59">
        <v>10</v>
      </c>
      <c r="H35" s="58">
        <v>0</v>
      </c>
      <c r="I35" s="62">
        <v>3</v>
      </c>
      <c r="J35" s="5">
        <f t="shared" si="2"/>
        <v>41</v>
      </c>
      <c r="K35" s="68">
        <f t="shared" si="3"/>
        <v>4.7126436781609193</v>
      </c>
      <c r="L35" s="13">
        <v>10</v>
      </c>
      <c r="M35" s="13">
        <v>20</v>
      </c>
      <c r="N35" s="13">
        <v>18</v>
      </c>
      <c r="O35" s="4">
        <f t="shared" ref="O35:O51" si="11">SUM(L35:N35)</f>
        <v>48</v>
      </c>
      <c r="P35" s="70">
        <f t="shared" si="4"/>
        <v>9.6</v>
      </c>
      <c r="Q35" s="13">
        <v>7</v>
      </c>
      <c r="R35" s="13">
        <v>14</v>
      </c>
      <c r="S35" s="8">
        <f t="shared" ref="S35:S51" si="12">SUM(Q35:R35)</f>
        <v>21</v>
      </c>
      <c r="T35" s="71">
        <f t="shared" si="5"/>
        <v>10.5</v>
      </c>
      <c r="U35" s="8">
        <v>28.5</v>
      </c>
      <c r="V35" s="13">
        <v>28.5</v>
      </c>
      <c r="W35" s="72">
        <f t="shared" si="6"/>
        <v>14.25</v>
      </c>
      <c r="X35" s="9">
        <f t="shared" si="7"/>
        <v>24.75</v>
      </c>
      <c r="Y35" s="9">
        <v>12</v>
      </c>
      <c r="Z35" s="9">
        <v>10</v>
      </c>
      <c r="AA35" s="9">
        <v>12</v>
      </c>
      <c r="AB35" s="9">
        <v>34</v>
      </c>
      <c r="AC35" s="73">
        <f t="shared" si="8"/>
        <v>34</v>
      </c>
      <c r="AD35" s="74">
        <f t="shared" si="9"/>
        <v>73.062643678160924</v>
      </c>
      <c r="AE35" s="19" t="str">
        <f>LOOKUP(AD35,{0,50,52,57,61,65,69,73,77,81,85},{"F","D","D+","C-","C","C+","B-","B","B+","A-","A"})</f>
        <v>B</v>
      </c>
      <c r="AF35" s="3"/>
    </row>
    <row r="36" spans="1:32" ht="18" customHeight="1" x14ac:dyDescent="0.25">
      <c r="A36" s="39">
        <v>28</v>
      </c>
      <c r="B36" s="40">
        <v>232202030</v>
      </c>
      <c r="C36" s="41" t="s">
        <v>49</v>
      </c>
      <c r="D36" s="13">
        <v>20</v>
      </c>
      <c r="E36" s="48">
        <v>0</v>
      </c>
      <c r="F36" s="62">
        <v>13.5</v>
      </c>
      <c r="G36" s="62">
        <v>8.5</v>
      </c>
      <c r="H36" s="58">
        <v>0</v>
      </c>
      <c r="I36" s="62">
        <v>1</v>
      </c>
      <c r="J36" s="5">
        <f t="shared" si="2"/>
        <v>43</v>
      </c>
      <c r="K36" s="68">
        <f t="shared" si="3"/>
        <v>4.9425287356321839</v>
      </c>
      <c r="L36" s="13">
        <v>8</v>
      </c>
      <c r="M36" s="13">
        <v>16</v>
      </c>
      <c r="N36" s="13">
        <v>17</v>
      </c>
      <c r="O36" s="4">
        <f t="shared" si="11"/>
        <v>41</v>
      </c>
      <c r="P36" s="70">
        <f t="shared" si="4"/>
        <v>8.1999999999999993</v>
      </c>
      <c r="Q36" s="13">
        <v>5</v>
      </c>
      <c r="R36" s="13">
        <v>6.5</v>
      </c>
      <c r="S36" s="55">
        <f t="shared" si="12"/>
        <v>11.5</v>
      </c>
      <c r="T36" s="71">
        <f t="shared" si="5"/>
        <v>5.75</v>
      </c>
      <c r="U36" s="8">
        <v>20</v>
      </c>
      <c r="V36" s="13">
        <f t="shared" si="10"/>
        <v>20</v>
      </c>
      <c r="W36" s="72">
        <f t="shared" si="6"/>
        <v>10</v>
      </c>
      <c r="X36" s="9">
        <f t="shared" si="7"/>
        <v>15.75</v>
      </c>
      <c r="Y36" s="9">
        <v>14.5</v>
      </c>
      <c r="Z36" s="9">
        <v>10</v>
      </c>
      <c r="AA36" s="9">
        <v>14.5</v>
      </c>
      <c r="AB36" s="9">
        <v>39</v>
      </c>
      <c r="AC36" s="73">
        <f t="shared" si="8"/>
        <v>39</v>
      </c>
      <c r="AD36" s="74">
        <f t="shared" si="9"/>
        <v>67.892528735632183</v>
      </c>
      <c r="AE36" s="19" t="str">
        <f>LOOKUP(AD36,{0,50,52,57,61,65,69,73,77,81,85},{"F","D","D+","C-","C","C+","B-","B","B+","A-","A"})</f>
        <v>C+</v>
      </c>
      <c r="AF36" s="3"/>
    </row>
    <row r="37" spans="1:32" ht="18" customHeight="1" x14ac:dyDescent="0.25">
      <c r="A37" s="39">
        <v>29</v>
      </c>
      <c r="B37" s="40">
        <v>232202032</v>
      </c>
      <c r="C37" s="41" t="s">
        <v>50</v>
      </c>
      <c r="D37" s="13">
        <v>18</v>
      </c>
      <c r="E37" s="51">
        <v>0</v>
      </c>
      <c r="F37" s="58">
        <v>0</v>
      </c>
      <c r="G37" s="58">
        <v>0</v>
      </c>
      <c r="H37" s="58">
        <v>0</v>
      </c>
      <c r="I37" s="58">
        <v>0</v>
      </c>
      <c r="J37" s="5">
        <f t="shared" si="2"/>
        <v>18</v>
      </c>
      <c r="K37" s="68">
        <f t="shared" si="3"/>
        <v>2.0689655172413794</v>
      </c>
      <c r="L37" s="13">
        <v>9.5</v>
      </c>
      <c r="M37" s="13">
        <v>20</v>
      </c>
      <c r="N37" s="13">
        <v>20</v>
      </c>
      <c r="O37" s="4">
        <f t="shared" si="11"/>
        <v>49.5</v>
      </c>
      <c r="P37" s="70">
        <f t="shared" si="4"/>
        <v>9.9</v>
      </c>
      <c r="Q37" s="13">
        <v>9.5</v>
      </c>
      <c r="R37" s="13">
        <v>17.5</v>
      </c>
      <c r="S37" s="8">
        <f t="shared" si="12"/>
        <v>27</v>
      </c>
      <c r="T37" s="71">
        <f t="shared" si="5"/>
        <v>13.5</v>
      </c>
      <c r="U37" s="8">
        <v>27</v>
      </c>
      <c r="V37" s="13">
        <v>27</v>
      </c>
      <c r="W37" s="72">
        <f t="shared" si="6"/>
        <v>13.5</v>
      </c>
      <c r="X37" s="9">
        <f t="shared" si="7"/>
        <v>27</v>
      </c>
      <c r="Y37" s="9">
        <v>19.5</v>
      </c>
      <c r="Z37" s="9">
        <v>10</v>
      </c>
      <c r="AA37" s="9">
        <v>19.5</v>
      </c>
      <c r="AB37" s="9">
        <v>49</v>
      </c>
      <c r="AC37" s="73">
        <f t="shared" si="8"/>
        <v>49</v>
      </c>
      <c r="AD37" s="74">
        <f t="shared" si="9"/>
        <v>87.968965517241372</v>
      </c>
      <c r="AE37" s="19" t="str">
        <f>LOOKUP(AD37,{0,50,52,57,61,65,69,73,77,81,85},{"F","D","D+","C-","C","C+","B-","B","B+","A-","A"})</f>
        <v>A</v>
      </c>
      <c r="AF37" s="3"/>
    </row>
    <row r="38" spans="1:32" ht="18" customHeight="1" x14ac:dyDescent="0.25">
      <c r="A38" s="39">
        <v>30</v>
      </c>
      <c r="B38" s="40">
        <v>232202033</v>
      </c>
      <c r="C38" s="41" t="s">
        <v>51</v>
      </c>
      <c r="D38" s="13">
        <v>20</v>
      </c>
      <c r="E38" s="13">
        <v>7</v>
      </c>
      <c r="F38" s="62">
        <v>12</v>
      </c>
      <c r="G38" s="62">
        <v>8.5</v>
      </c>
      <c r="H38" s="58">
        <v>0</v>
      </c>
      <c r="I38" s="62">
        <v>5.5</v>
      </c>
      <c r="J38" s="5">
        <f t="shared" si="2"/>
        <v>53</v>
      </c>
      <c r="K38" s="68">
        <f t="shared" si="3"/>
        <v>6.0919540229885065</v>
      </c>
      <c r="L38" s="48">
        <v>5</v>
      </c>
      <c r="M38" s="13">
        <v>20</v>
      </c>
      <c r="N38" s="13">
        <v>18</v>
      </c>
      <c r="O38" s="4">
        <f t="shared" si="11"/>
        <v>43</v>
      </c>
      <c r="P38" s="70">
        <f t="shared" si="4"/>
        <v>8.6</v>
      </c>
      <c r="Q38" s="13">
        <v>10</v>
      </c>
      <c r="R38" s="13">
        <v>16.5</v>
      </c>
      <c r="S38" s="8">
        <f t="shared" si="12"/>
        <v>26.5</v>
      </c>
      <c r="T38" s="71">
        <f t="shared" si="5"/>
        <v>13.25</v>
      </c>
      <c r="U38" s="8">
        <v>26</v>
      </c>
      <c r="V38" s="13">
        <v>26</v>
      </c>
      <c r="W38" s="72">
        <f t="shared" si="6"/>
        <v>13</v>
      </c>
      <c r="X38" s="9">
        <f t="shared" si="7"/>
        <v>26.25</v>
      </c>
      <c r="Y38" s="9">
        <v>13</v>
      </c>
      <c r="Z38" s="9">
        <v>10</v>
      </c>
      <c r="AA38" s="9">
        <v>14.5</v>
      </c>
      <c r="AB38" s="9">
        <v>37.5</v>
      </c>
      <c r="AC38" s="73">
        <f t="shared" si="8"/>
        <v>37.5</v>
      </c>
      <c r="AD38" s="74">
        <f t="shared" si="9"/>
        <v>78.441954022988511</v>
      </c>
      <c r="AE38" s="19" t="str">
        <f>LOOKUP(AD38,{0,50,52,57,61,65,69,73,77,81,85},{"F","D","D+","C-","C","C+","B-","B","B+","A-","A"})</f>
        <v>B+</v>
      </c>
      <c r="AF38" s="3"/>
    </row>
    <row r="39" spans="1:32" ht="18" customHeight="1" x14ac:dyDescent="0.25">
      <c r="A39" s="39">
        <v>31</v>
      </c>
      <c r="B39" s="40">
        <v>232202035</v>
      </c>
      <c r="C39" s="41" t="s">
        <v>52</v>
      </c>
      <c r="D39" s="13">
        <v>14</v>
      </c>
      <c r="E39" s="13">
        <v>4</v>
      </c>
      <c r="F39" s="61">
        <v>2</v>
      </c>
      <c r="G39" s="62">
        <v>0</v>
      </c>
      <c r="H39" s="58">
        <v>0</v>
      </c>
      <c r="I39" s="62">
        <v>0</v>
      </c>
      <c r="J39" s="5">
        <f t="shared" si="2"/>
        <v>20</v>
      </c>
      <c r="K39" s="68">
        <f t="shared" si="3"/>
        <v>2.2988505747126435</v>
      </c>
      <c r="L39" s="13">
        <v>8</v>
      </c>
      <c r="M39" s="13">
        <v>19</v>
      </c>
      <c r="N39" s="13">
        <v>20</v>
      </c>
      <c r="O39" s="4">
        <f t="shared" si="11"/>
        <v>47</v>
      </c>
      <c r="P39" s="70">
        <f t="shared" si="4"/>
        <v>9.3999999999999986</v>
      </c>
      <c r="Q39" s="13">
        <v>7.5</v>
      </c>
      <c r="R39" s="13">
        <v>7.5</v>
      </c>
      <c r="S39" s="8">
        <f t="shared" si="12"/>
        <v>15</v>
      </c>
      <c r="T39" s="71">
        <f t="shared" si="5"/>
        <v>7.5</v>
      </c>
      <c r="U39" s="8">
        <v>28</v>
      </c>
      <c r="V39" s="13">
        <v>28</v>
      </c>
      <c r="W39" s="72">
        <f t="shared" si="6"/>
        <v>14</v>
      </c>
      <c r="X39" s="9">
        <f t="shared" si="7"/>
        <v>21.5</v>
      </c>
      <c r="Y39" s="9">
        <v>10</v>
      </c>
      <c r="Z39" s="9">
        <v>10</v>
      </c>
      <c r="AA39" s="9">
        <v>10.5</v>
      </c>
      <c r="AB39" s="9">
        <v>30.5</v>
      </c>
      <c r="AC39" s="73">
        <f t="shared" si="8"/>
        <v>30.5</v>
      </c>
      <c r="AD39" s="74">
        <f t="shared" si="9"/>
        <v>63.698850574712644</v>
      </c>
      <c r="AE39" s="19" t="str">
        <f>LOOKUP(AD39,{0,50,52,57,61,65,69,73,77,81,85},{"F","D","D+","C-","C","C+","B-","B","B+","A-","A"})</f>
        <v>C</v>
      </c>
      <c r="AF39" s="3"/>
    </row>
    <row r="40" spans="1:32" ht="18" customHeight="1" x14ac:dyDescent="0.25">
      <c r="A40" s="39">
        <v>32</v>
      </c>
      <c r="B40" s="40">
        <v>232202036</v>
      </c>
      <c r="C40" s="41" t="s">
        <v>53</v>
      </c>
      <c r="D40" s="50">
        <v>14</v>
      </c>
      <c r="E40" s="51">
        <v>0</v>
      </c>
      <c r="F40" s="62">
        <v>8.5</v>
      </c>
      <c r="G40" s="62">
        <v>0</v>
      </c>
      <c r="H40" s="58">
        <v>0</v>
      </c>
      <c r="I40" s="58">
        <v>0</v>
      </c>
      <c r="J40" s="5">
        <f t="shared" si="2"/>
        <v>22.5</v>
      </c>
      <c r="K40" s="68">
        <f t="shared" si="3"/>
        <v>2.5862068965517242</v>
      </c>
      <c r="L40" s="51">
        <v>0</v>
      </c>
      <c r="M40" s="13">
        <v>20</v>
      </c>
      <c r="N40" s="13">
        <v>20</v>
      </c>
      <c r="O40" s="4">
        <f t="shared" si="11"/>
        <v>40</v>
      </c>
      <c r="P40" s="70">
        <f t="shared" si="4"/>
        <v>8</v>
      </c>
      <c r="Q40" s="13">
        <v>4</v>
      </c>
      <c r="R40" s="13">
        <v>11</v>
      </c>
      <c r="S40" s="8">
        <f t="shared" si="12"/>
        <v>15</v>
      </c>
      <c r="T40" s="71">
        <f t="shared" si="5"/>
        <v>7.5</v>
      </c>
      <c r="U40" s="8">
        <v>23</v>
      </c>
      <c r="V40" s="13">
        <v>23</v>
      </c>
      <c r="W40" s="72">
        <f t="shared" si="6"/>
        <v>11.5</v>
      </c>
      <c r="X40" s="9">
        <f t="shared" si="7"/>
        <v>19</v>
      </c>
      <c r="Y40" s="9">
        <v>15</v>
      </c>
      <c r="Z40" s="9">
        <v>10</v>
      </c>
      <c r="AA40" s="9">
        <v>16</v>
      </c>
      <c r="AB40" s="9">
        <v>41</v>
      </c>
      <c r="AC40" s="73">
        <f t="shared" si="8"/>
        <v>41</v>
      </c>
      <c r="AD40" s="74">
        <f t="shared" si="9"/>
        <v>70.586206896551715</v>
      </c>
      <c r="AE40" s="19" t="str">
        <f>LOOKUP(AD40,{0,50,52,57,61,65,69,73,77,81,85},{"F","D","D+","C-","C","C+","B-","B","B+","A-","A"})</f>
        <v>B-</v>
      </c>
      <c r="AF40" s="3"/>
    </row>
    <row r="41" spans="1:32" ht="18" customHeight="1" x14ac:dyDescent="0.25">
      <c r="A41" s="39">
        <v>33</v>
      </c>
      <c r="B41" s="40">
        <v>232202037</v>
      </c>
      <c r="C41" s="41" t="s">
        <v>54</v>
      </c>
      <c r="D41" s="13">
        <v>20</v>
      </c>
      <c r="E41" s="13">
        <v>1</v>
      </c>
      <c r="F41" s="62">
        <v>0</v>
      </c>
      <c r="G41" s="62">
        <v>0</v>
      </c>
      <c r="H41" s="58">
        <v>0</v>
      </c>
      <c r="I41" s="62">
        <v>2</v>
      </c>
      <c r="J41" s="5">
        <f t="shared" si="2"/>
        <v>23</v>
      </c>
      <c r="K41" s="68">
        <f t="shared" si="3"/>
        <v>2.6436781609195403</v>
      </c>
      <c r="L41" s="13">
        <v>9</v>
      </c>
      <c r="M41" s="13">
        <v>16</v>
      </c>
      <c r="N41" s="13">
        <v>17</v>
      </c>
      <c r="O41" s="4">
        <f t="shared" si="11"/>
        <v>42</v>
      </c>
      <c r="P41" s="70">
        <f t="shared" si="4"/>
        <v>8.4</v>
      </c>
      <c r="Q41" s="13">
        <v>6.5</v>
      </c>
      <c r="R41" s="13">
        <v>14.5</v>
      </c>
      <c r="S41" s="8">
        <f t="shared" si="12"/>
        <v>21</v>
      </c>
      <c r="T41" s="71">
        <f t="shared" si="5"/>
        <v>10.5</v>
      </c>
      <c r="U41" s="8">
        <v>21</v>
      </c>
      <c r="V41" s="13">
        <v>21</v>
      </c>
      <c r="W41" s="72">
        <f t="shared" si="6"/>
        <v>10.5</v>
      </c>
      <c r="X41" s="9">
        <f t="shared" si="7"/>
        <v>21</v>
      </c>
      <c r="Y41" s="9">
        <v>16.5</v>
      </c>
      <c r="Z41" s="9">
        <v>10</v>
      </c>
      <c r="AA41" s="9">
        <v>16.5</v>
      </c>
      <c r="AB41" s="9">
        <v>43</v>
      </c>
      <c r="AC41" s="73">
        <f t="shared" si="8"/>
        <v>43</v>
      </c>
      <c r="AD41" s="74">
        <f t="shared" si="9"/>
        <v>75.043678160919541</v>
      </c>
      <c r="AE41" s="19" t="str">
        <f>LOOKUP(AD41,{0,50,52,57,61,65,69,73,77,81,85},{"F","D","D+","C-","C","C+","B-","B","B+","A-","A"})</f>
        <v>B</v>
      </c>
      <c r="AF41" s="3"/>
    </row>
    <row r="42" spans="1:32" ht="18" customHeight="1" x14ac:dyDescent="0.25">
      <c r="A42" s="39">
        <v>34</v>
      </c>
      <c r="B42" s="40">
        <v>232202038</v>
      </c>
      <c r="C42" s="41" t="s">
        <v>55</v>
      </c>
      <c r="D42" s="13">
        <v>14</v>
      </c>
      <c r="E42" s="51">
        <v>0</v>
      </c>
      <c r="F42" s="62">
        <v>0</v>
      </c>
      <c r="G42" s="58">
        <v>0</v>
      </c>
      <c r="H42" s="58">
        <v>0</v>
      </c>
      <c r="I42" s="58">
        <v>0</v>
      </c>
      <c r="J42" s="5">
        <f t="shared" si="2"/>
        <v>14</v>
      </c>
      <c r="K42" s="68">
        <f t="shared" si="3"/>
        <v>1.6091954022988506</v>
      </c>
      <c r="L42" s="13">
        <v>10</v>
      </c>
      <c r="M42" s="13">
        <v>20</v>
      </c>
      <c r="N42" s="13">
        <v>16</v>
      </c>
      <c r="O42" s="4">
        <f t="shared" si="11"/>
        <v>46</v>
      </c>
      <c r="P42" s="70">
        <f t="shared" si="4"/>
        <v>9.2000000000000011</v>
      </c>
      <c r="Q42" s="13">
        <v>5</v>
      </c>
      <c r="R42" s="13">
        <v>18</v>
      </c>
      <c r="S42" s="8">
        <f t="shared" si="12"/>
        <v>23</v>
      </c>
      <c r="T42" s="71">
        <f t="shared" si="5"/>
        <v>11.5</v>
      </c>
      <c r="U42" s="52">
        <v>26</v>
      </c>
      <c r="V42" s="13">
        <v>26</v>
      </c>
      <c r="W42" s="72">
        <f t="shared" si="6"/>
        <v>13</v>
      </c>
      <c r="X42" s="9">
        <f t="shared" si="7"/>
        <v>24.5</v>
      </c>
      <c r="Y42" s="9">
        <v>19.5</v>
      </c>
      <c r="Z42" s="9">
        <v>10</v>
      </c>
      <c r="AA42" s="9">
        <v>20</v>
      </c>
      <c r="AB42" s="9">
        <v>49.5</v>
      </c>
      <c r="AC42" s="73">
        <f t="shared" si="8"/>
        <v>49.5</v>
      </c>
      <c r="AD42" s="74">
        <f t="shared" si="9"/>
        <v>84.809195402298855</v>
      </c>
      <c r="AE42" s="19" t="str">
        <f>LOOKUP(AD42,{0,50,52,57,61,65,69,73,77,81,85},{"F","D","D+","C-","C","C+","B-","B","B+","A-","A"})</f>
        <v>A-</v>
      </c>
      <c r="AF42" s="3"/>
    </row>
    <row r="43" spans="1:32" ht="18" customHeight="1" x14ac:dyDescent="0.25">
      <c r="A43" s="39">
        <v>35</v>
      </c>
      <c r="B43" s="40">
        <v>232202039</v>
      </c>
      <c r="C43" s="41" t="s">
        <v>56</v>
      </c>
      <c r="D43" s="13">
        <v>16</v>
      </c>
      <c r="E43" s="13">
        <v>5</v>
      </c>
      <c r="F43" s="62">
        <v>14</v>
      </c>
      <c r="G43" s="62">
        <v>10</v>
      </c>
      <c r="H43" s="62">
        <v>13</v>
      </c>
      <c r="I43" s="62">
        <v>10</v>
      </c>
      <c r="J43" s="5">
        <f t="shared" si="2"/>
        <v>68</v>
      </c>
      <c r="K43" s="68">
        <f t="shared" si="3"/>
        <v>7.8160919540229887</v>
      </c>
      <c r="L43" s="13">
        <v>9</v>
      </c>
      <c r="M43" s="13">
        <v>20</v>
      </c>
      <c r="N43" s="13">
        <v>20</v>
      </c>
      <c r="O43" s="4">
        <f t="shared" si="11"/>
        <v>49</v>
      </c>
      <c r="P43" s="70">
        <f t="shared" si="4"/>
        <v>9.8000000000000007</v>
      </c>
      <c r="Q43" s="13">
        <v>5</v>
      </c>
      <c r="R43" s="13">
        <v>16.5</v>
      </c>
      <c r="S43" s="8">
        <f t="shared" si="12"/>
        <v>21.5</v>
      </c>
      <c r="T43" s="71">
        <f t="shared" si="5"/>
        <v>10.75</v>
      </c>
      <c r="U43" s="8">
        <v>30</v>
      </c>
      <c r="V43" s="13">
        <v>30</v>
      </c>
      <c r="W43" s="72">
        <f t="shared" si="6"/>
        <v>15</v>
      </c>
      <c r="X43" s="9">
        <f t="shared" si="7"/>
        <v>25.75</v>
      </c>
      <c r="Y43" s="9">
        <v>19</v>
      </c>
      <c r="Z43" s="9">
        <v>10</v>
      </c>
      <c r="AA43" s="9">
        <v>19</v>
      </c>
      <c r="AB43" s="9">
        <v>48</v>
      </c>
      <c r="AC43" s="73">
        <f t="shared" si="8"/>
        <v>48</v>
      </c>
      <c r="AD43" s="74">
        <f t="shared" si="9"/>
        <v>91.366091954022991</v>
      </c>
      <c r="AE43" s="19" t="str">
        <f>LOOKUP(AD43,{0,50,52,57,61,65,69,73,77,81,85},{"F","D","D+","C-","C","C+","B-","B","B+","A-","A"})</f>
        <v>A</v>
      </c>
      <c r="AF43" s="3"/>
    </row>
    <row r="44" spans="1:32" ht="18" customHeight="1" x14ac:dyDescent="0.25">
      <c r="A44" s="39">
        <v>36</v>
      </c>
      <c r="B44" s="40">
        <v>232202040</v>
      </c>
      <c r="C44" s="41" t="s">
        <v>57</v>
      </c>
      <c r="D44" s="13">
        <v>18</v>
      </c>
      <c r="E44" s="51">
        <v>0</v>
      </c>
      <c r="F44" s="62">
        <v>0</v>
      </c>
      <c r="G44" s="62">
        <v>0</v>
      </c>
      <c r="H44" s="62">
        <v>13.5</v>
      </c>
      <c r="I44" s="62">
        <v>2.5</v>
      </c>
      <c r="J44" s="5">
        <f t="shared" si="2"/>
        <v>34</v>
      </c>
      <c r="K44" s="68">
        <f t="shared" si="3"/>
        <v>3.9080459770114944</v>
      </c>
      <c r="L44" s="13">
        <v>9</v>
      </c>
      <c r="M44" s="13">
        <v>20</v>
      </c>
      <c r="N44" s="13">
        <v>20</v>
      </c>
      <c r="O44" s="4">
        <f t="shared" si="11"/>
        <v>49</v>
      </c>
      <c r="P44" s="70">
        <f t="shared" si="4"/>
        <v>9.8000000000000007</v>
      </c>
      <c r="Q44" s="13">
        <v>5</v>
      </c>
      <c r="R44" s="13">
        <v>10.5</v>
      </c>
      <c r="S44" s="8">
        <f t="shared" si="12"/>
        <v>15.5</v>
      </c>
      <c r="T44" s="71">
        <f t="shared" si="5"/>
        <v>7.7500000000000009</v>
      </c>
      <c r="U44" s="8">
        <v>26</v>
      </c>
      <c r="V44" s="13">
        <v>26</v>
      </c>
      <c r="W44" s="72">
        <f t="shared" si="6"/>
        <v>13</v>
      </c>
      <c r="X44" s="9">
        <f t="shared" si="7"/>
        <v>20.75</v>
      </c>
      <c r="Y44" s="9">
        <v>17.5</v>
      </c>
      <c r="Z44" s="9">
        <v>10</v>
      </c>
      <c r="AA44" s="9">
        <v>18</v>
      </c>
      <c r="AB44" s="9">
        <v>45.5</v>
      </c>
      <c r="AC44" s="73">
        <f t="shared" si="8"/>
        <v>45.5</v>
      </c>
      <c r="AD44" s="74">
        <f t="shared" si="9"/>
        <v>79.958045977011494</v>
      </c>
      <c r="AE44" s="19" t="str">
        <f>LOOKUP(AD44,{0,50,52,57,61,65,69,73,77,81,85},{"F","D","D+","C-","C","C+","B-","B","B+","A-","A"})</f>
        <v>B+</v>
      </c>
      <c r="AF44" s="3"/>
    </row>
    <row r="45" spans="1:32" ht="18" customHeight="1" x14ac:dyDescent="0.25">
      <c r="A45" s="39">
        <v>37</v>
      </c>
      <c r="B45" s="40">
        <v>232202041</v>
      </c>
      <c r="C45" s="41" t="s">
        <v>58</v>
      </c>
      <c r="D45" s="13">
        <v>14</v>
      </c>
      <c r="E45" s="51">
        <v>0</v>
      </c>
      <c r="F45" s="62">
        <v>6</v>
      </c>
      <c r="G45" s="62">
        <v>5</v>
      </c>
      <c r="H45" s="62">
        <v>0</v>
      </c>
      <c r="I45" s="62">
        <v>3</v>
      </c>
      <c r="J45" s="5">
        <f t="shared" si="2"/>
        <v>28</v>
      </c>
      <c r="K45" s="68">
        <f t="shared" si="3"/>
        <v>3.2183908045977012</v>
      </c>
      <c r="L45" s="13">
        <v>9</v>
      </c>
      <c r="M45" s="13">
        <v>19</v>
      </c>
      <c r="N45" s="13">
        <v>17</v>
      </c>
      <c r="O45" s="4">
        <f t="shared" si="11"/>
        <v>45</v>
      </c>
      <c r="P45" s="70">
        <f t="shared" si="4"/>
        <v>9</v>
      </c>
      <c r="Q45" s="13">
        <v>5.5</v>
      </c>
      <c r="R45" s="13">
        <v>7.5</v>
      </c>
      <c r="S45" s="8">
        <f t="shared" si="12"/>
        <v>13</v>
      </c>
      <c r="T45" s="71">
        <f t="shared" si="5"/>
        <v>6.5</v>
      </c>
      <c r="U45" s="8">
        <v>21</v>
      </c>
      <c r="V45" s="13">
        <v>21</v>
      </c>
      <c r="W45" s="72">
        <f t="shared" si="6"/>
        <v>10.5</v>
      </c>
      <c r="X45" s="9">
        <f t="shared" si="7"/>
        <v>17</v>
      </c>
      <c r="Y45" s="9">
        <v>17</v>
      </c>
      <c r="Z45" s="9">
        <v>10</v>
      </c>
      <c r="AA45" s="9">
        <v>16.5</v>
      </c>
      <c r="AB45" s="9">
        <v>43.5</v>
      </c>
      <c r="AC45" s="73">
        <f t="shared" si="8"/>
        <v>43.5</v>
      </c>
      <c r="AD45" s="74">
        <f t="shared" si="9"/>
        <v>72.718390804597703</v>
      </c>
      <c r="AE45" s="19" t="str">
        <f>LOOKUP(AD45,{0,50,52,57,61,65,69,73,77,81,85},{"F","D","D+","C-","C","C+","B-","B","B+","A-","A"})</f>
        <v>B-</v>
      </c>
      <c r="AF45" s="3"/>
    </row>
    <row r="46" spans="1:32" ht="18" customHeight="1" x14ac:dyDescent="0.25">
      <c r="A46" s="39">
        <v>38</v>
      </c>
      <c r="B46" s="40">
        <v>232202042</v>
      </c>
      <c r="C46" s="41" t="s">
        <v>59</v>
      </c>
      <c r="D46" s="13">
        <v>16</v>
      </c>
      <c r="E46" s="51">
        <v>5</v>
      </c>
      <c r="F46" s="62">
        <v>6</v>
      </c>
      <c r="G46" s="62">
        <v>6</v>
      </c>
      <c r="H46" s="62">
        <v>0</v>
      </c>
      <c r="I46" s="62">
        <v>7</v>
      </c>
      <c r="J46" s="5">
        <f>SUM(D46:I46)</f>
        <v>40</v>
      </c>
      <c r="K46" s="68">
        <f t="shared" si="3"/>
        <v>4.5977011494252871</v>
      </c>
      <c r="L46" s="13">
        <v>8.5</v>
      </c>
      <c r="M46" s="13">
        <v>19</v>
      </c>
      <c r="N46" s="13">
        <v>20</v>
      </c>
      <c r="O46" s="4">
        <f t="shared" si="11"/>
        <v>47.5</v>
      </c>
      <c r="P46" s="70">
        <f t="shared" si="4"/>
        <v>9.5</v>
      </c>
      <c r="Q46" s="13">
        <v>5</v>
      </c>
      <c r="R46" s="13">
        <v>15</v>
      </c>
      <c r="S46" s="52">
        <f t="shared" si="12"/>
        <v>20</v>
      </c>
      <c r="T46" s="71">
        <f t="shared" si="5"/>
        <v>10</v>
      </c>
      <c r="U46" s="8">
        <v>26</v>
      </c>
      <c r="V46" s="13">
        <v>26</v>
      </c>
      <c r="W46" s="72">
        <f t="shared" si="6"/>
        <v>13</v>
      </c>
      <c r="X46" s="9">
        <f t="shared" si="7"/>
        <v>23</v>
      </c>
      <c r="Y46" s="9">
        <v>16.5</v>
      </c>
      <c r="Z46" s="9">
        <v>10</v>
      </c>
      <c r="AA46" s="9">
        <v>16.5</v>
      </c>
      <c r="AB46" s="9">
        <v>43</v>
      </c>
      <c r="AC46" s="73">
        <f t="shared" si="8"/>
        <v>43</v>
      </c>
      <c r="AD46" s="74">
        <f t="shared" si="9"/>
        <v>80.097701149425291</v>
      </c>
      <c r="AE46" s="19" t="str">
        <f>LOOKUP(AD46,{0,50,52,57,61,65,69,73,77,81,85},{"F","D","D+","C-","C","C+","B-","B","B+","A-","A"})</f>
        <v>B+</v>
      </c>
      <c r="AF46" s="3"/>
    </row>
    <row r="47" spans="1:32" s="154" customFormat="1" ht="18" customHeight="1" x14ac:dyDescent="0.25">
      <c r="A47" s="142">
        <v>39</v>
      </c>
      <c r="B47" s="143">
        <v>232202043</v>
      </c>
      <c r="C47" s="144" t="s">
        <v>60</v>
      </c>
      <c r="D47" s="140">
        <v>18</v>
      </c>
      <c r="E47" s="140">
        <v>5</v>
      </c>
      <c r="F47" s="141">
        <v>5.5</v>
      </c>
      <c r="G47" s="141">
        <v>5.5</v>
      </c>
      <c r="H47" s="141">
        <v>7</v>
      </c>
      <c r="I47" s="141">
        <v>2</v>
      </c>
      <c r="J47" s="145">
        <f t="shared" si="2"/>
        <v>43</v>
      </c>
      <c r="K47" s="146">
        <f t="shared" si="3"/>
        <v>4.9425287356321839</v>
      </c>
      <c r="L47" s="140">
        <v>6</v>
      </c>
      <c r="M47" s="140">
        <v>19</v>
      </c>
      <c r="N47" s="140">
        <v>17</v>
      </c>
      <c r="O47" s="147">
        <f t="shared" si="11"/>
        <v>42</v>
      </c>
      <c r="P47" s="148">
        <f t="shared" si="4"/>
        <v>8.4</v>
      </c>
      <c r="Q47" s="140">
        <v>5</v>
      </c>
      <c r="R47" s="140">
        <v>7</v>
      </c>
      <c r="S47" s="136">
        <f t="shared" si="12"/>
        <v>12</v>
      </c>
      <c r="T47" s="149">
        <f t="shared" si="5"/>
        <v>6</v>
      </c>
      <c r="U47" s="136">
        <v>21</v>
      </c>
      <c r="V47" s="140">
        <v>21</v>
      </c>
      <c r="W47" s="150">
        <f t="shared" si="6"/>
        <v>10.5</v>
      </c>
      <c r="X47" s="151">
        <f t="shared" si="7"/>
        <v>16.5</v>
      </c>
      <c r="Y47" s="151">
        <v>12</v>
      </c>
      <c r="Z47" s="151">
        <v>6</v>
      </c>
      <c r="AA47" s="151">
        <v>12.5</v>
      </c>
      <c r="AB47" s="151">
        <v>28.5</v>
      </c>
      <c r="AC47" s="150">
        <f t="shared" si="8"/>
        <v>28.499999999999996</v>
      </c>
      <c r="AD47" s="138">
        <f t="shared" si="9"/>
        <v>58.342528735632186</v>
      </c>
      <c r="AE47" s="152" t="str">
        <f>LOOKUP(AD47,{0,50,52,57,61,65,69,73,77,81,85},{"F","D","D+","C-","C","C+","B-","B","B+","A-","A"})</f>
        <v>C-</v>
      </c>
      <c r="AF47" s="153"/>
    </row>
    <row r="48" spans="1:32" ht="18" customHeight="1" x14ac:dyDescent="0.25">
      <c r="A48" s="39">
        <v>40</v>
      </c>
      <c r="B48" s="40">
        <v>232202044</v>
      </c>
      <c r="C48" s="41" t="s">
        <v>61</v>
      </c>
      <c r="D48" s="13">
        <v>10</v>
      </c>
      <c r="E48" s="13">
        <v>6.5</v>
      </c>
      <c r="F48" s="58">
        <v>0</v>
      </c>
      <c r="G48" s="62">
        <v>0</v>
      </c>
      <c r="H48" s="61">
        <v>3</v>
      </c>
      <c r="I48" s="62">
        <v>8</v>
      </c>
      <c r="J48" s="5">
        <f t="shared" si="2"/>
        <v>27.5</v>
      </c>
      <c r="K48" s="68">
        <f t="shared" si="3"/>
        <v>3.1609195402298851</v>
      </c>
      <c r="L48" s="13">
        <v>8</v>
      </c>
      <c r="M48" s="13">
        <v>18</v>
      </c>
      <c r="N48" s="13">
        <v>20</v>
      </c>
      <c r="O48" s="4">
        <f t="shared" si="11"/>
        <v>46</v>
      </c>
      <c r="P48" s="70">
        <f t="shared" si="4"/>
        <v>9.2000000000000011</v>
      </c>
      <c r="Q48" s="13">
        <v>6.5</v>
      </c>
      <c r="R48" s="13">
        <v>8.5</v>
      </c>
      <c r="S48" s="8">
        <f t="shared" si="12"/>
        <v>15</v>
      </c>
      <c r="T48" s="71">
        <f t="shared" si="5"/>
        <v>7.5</v>
      </c>
      <c r="U48" s="8">
        <v>27.5</v>
      </c>
      <c r="V48" s="13">
        <f t="shared" si="10"/>
        <v>27.5</v>
      </c>
      <c r="W48" s="72">
        <f t="shared" si="6"/>
        <v>13.75</v>
      </c>
      <c r="X48" s="9">
        <f t="shared" si="7"/>
        <v>21.25</v>
      </c>
      <c r="Y48" s="9">
        <v>10.5</v>
      </c>
      <c r="Z48" s="9">
        <v>10</v>
      </c>
      <c r="AA48" s="9">
        <v>13</v>
      </c>
      <c r="AB48" s="9">
        <v>33.5</v>
      </c>
      <c r="AC48" s="73">
        <f t="shared" si="8"/>
        <v>33.5</v>
      </c>
      <c r="AD48" s="74">
        <f t="shared" si="9"/>
        <v>67.110919540229887</v>
      </c>
      <c r="AE48" s="19" t="str">
        <f>LOOKUP(AD48,{0,50,52,57,61,65,69,73,77,81,85},{"F","D","D+","C-","C","C+","B-","B","B+","A-","A"})</f>
        <v>C+</v>
      </c>
      <c r="AF48" s="3"/>
    </row>
    <row r="49" spans="1:32" ht="18" customHeight="1" x14ac:dyDescent="0.25">
      <c r="A49" s="39">
        <v>41</v>
      </c>
      <c r="B49" s="43">
        <v>232202046</v>
      </c>
      <c r="C49" s="44" t="s">
        <v>62</v>
      </c>
      <c r="D49" s="13">
        <v>16</v>
      </c>
      <c r="E49" s="13">
        <v>1</v>
      </c>
      <c r="F49" s="62">
        <v>16</v>
      </c>
      <c r="G49" s="62">
        <v>1</v>
      </c>
      <c r="H49" s="62">
        <v>5</v>
      </c>
      <c r="I49" s="62">
        <v>2</v>
      </c>
      <c r="J49" s="5">
        <f t="shared" si="2"/>
        <v>41</v>
      </c>
      <c r="K49" s="68">
        <f t="shared" si="3"/>
        <v>4.7126436781609193</v>
      </c>
      <c r="L49" s="13">
        <v>8</v>
      </c>
      <c r="M49" s="50">
        <v>19</v>
      </c>
      <c r="N49" s="13">
        <v>17</v>
      </c>
      <c r="O49" s="4">
        <f t="shared" si="11"/>
        <v>44</v>
      </c>
      <c r="P49" s="70">
        <f t="shared" si="4"/>
        <v>8.8000000000000007</v>
      </c>
      <c r="Q49" s="13">
        <v>4</v>
      </c>
      <c r="R49" s="13">
        <v>11</v>
      </c>
      <c r="S49" s="8">
        <f t="shared" si="12"/>
        <v>15</v>
      </c>
      <c r="T49" s="71">
        <f t="shared" si="5"/>
        <v>7.5</v>
      </c>
      <c r="U49" s="8">
        <v>24.5</v>
      </c>
      <c r="V49" s="13">
        <f t="shared" si="10"/>
        <v>24.5</v>
      </c>
      <c r="W49" s="72">
        <f t="shared" si="6"/>
        <v>12.25</v>
      </c>
      <c r="X49" s="9">
        <f t="shared" si="7"/>
        <v>19.75</v>
      </c>
      <c r="Y49" s="9">
        <v>12</v>
      </c>
      <c r="Z49" s="9">
        <v>10</v>
      </c>
      <c r="AA49" s="9">
        <v>12.5</v>
      </c>
      <c r="AB49" s="9">
        <v>34.5</v>
      </c>
      <c r="AC49" s="73">
        <f t="shared" si="8"/>
        <v>34.5</v>
      </c>
      <c r="AD49" s="74">
        <f t="shared" si="9"/>
        <v>67.762643678160913</v>
      </c>
      <c r="AE49" s="19" t="str">
        <f>LOOKUP(AD49,{0,50,52,57,61,65,69,73,77,81,85},{"F","D","D+","C-","C","C+","B-","B","B+","A-","A"})</f>
        <v>C+</v>
      </c>
      <c r="AF49" s="3"/>
    </row>
    <row r="50" spans="1:32" ht="18" customHeight="1" x14ac:dyDescent="0.25">
      <c r="A50" s="39">
        <v>42</v>
      </c>
      <c r="B50" s="43">
        <v>232202049</v>
      </c>
      <c r="C50" s="44" t="s">
        <v>63</v>
      </c>
      <c r="D50" s="13">
        <v>16</v>
      </c>
      <c r="E50" s="13">
        <v>4</v>
      </c>
      <c r="F50" s="60">
        <v>10</v>
      </c>
      <c r="G50" s="62">
        <v>2</v>
      </c>
      <c r="H50" s="62">
        <v>0</v>
      </c>
      <c r="I50" s="62">
        <v>3</v>
      </c>
      <c r="J50" s="5">
        <f t="shared" si="2"/>
        <v>35</v>
      </c>
      <c r="K50" s="68">
        <f t="shared" si="3"/>
        <v>4.0229885057471266</v>
      </c>
      <c r="L50" s="13">
        <v>10</v>
      </c>
      <c r="M50" s="13">
        <v>16</v>
      </c>
      <c r="N50" s="13">
        <v>20</v>
      </c>
      <c r="O50" s="4">
        <f t="shared" si="11"/>
        <v>46</v>
      </c>
      <c r="P50" s="70">
        <f t="shared" si="4"/>
        <v>9.2000000000000011</v>
      </c>
      <c r="Q50" s="13">
        <v>5</v>
      </c>
      <c r="R50" s="13">
        <v>13</v>
      </c>
      <c r="S50" s="8">
        <f t="shared" si="12"/>
        <v>18</v>
      </c>
      <c r="T50" s="71">
        <f t="shared" si="5"/>
        <v>9</v>
      </c>
      <c r="U50" s="8">
        <v>24</v>
      </c>
      <c r="V50" s="13">
        <f t="shared" si="10"/>
        <v>24</v>
      </c>
      <c r="W50" s="72">
        <f t="shared" si="6"/>
        <v>12</v>
      </c>
      <c r="X50" s="9">
        <f t="shared" si="7"/>
        <v>21</v>
      </c>
      <c r="Y50" s="9">
        <v>16.5</v>
      </c>
      <c r="Z50" s="9">
        <v>10</v>
      </c>
      <c r="AA50" s="9">
        <v>16.5</v>
      </c>
      <c r="AB50" s="82">
        <v>41</v>
      </c>
      <c r="AC50" s="73">
        <f t="shared" si="8"/>
        <v>41</v>
      </c>
      <c r="AD50" s="74">
        <f t="shared" si="9"/>
        <v>75.222988505747125</v>
      </c>
      <c r="AE50" s="19" t="str">
        <f>LOOKUP(AD50,{0,50,52,57,61,65,69,73,77,81,85},{"F","D","D+","C-","C","C+","B-","B","B+","A-","A"})</f>
        <v>B</v>
      </c>
      <c r="AF50" s="3"/>
    </row>
    <row r="51" spans="1:32" ht="18" customHeight="1" thickBot="1" x14ac:dyDescent="0.3">
      <c r="A51" s="39">
        <v>43</v>
      </c>
      <c r="B51" s="45">
        <v>232202050</v>
      </c>
      <c r="C51" s="46" t="s">
        <v>64</v>
      </c>
      <c r="D51" s="13">
        <v>18</v>
      </c>
      <c r="E51" s="13">
        <v>6</v>
      </c>
      <c r="F51" s="62">
        <v>19</v>
      </c>
      <c r="G51" s="62">
        <v>2</v>
      </c>
      <c r="H51" s="62">
        <v>0</v>
      </c>
      <c r="I51" s="62">
        <v>8.5</v>
      </c>
      <c r="J51" s="5">
        <f t="shared" si="2"/>
        <v>53.5</v>
      </c>
      <c r="K51" s="68">
        <f t="shared" si="3"/>
        <v>6.1494252873563218</v>
      </c>
      <c r="L51" s="13">
        <v>9</v>
      </c>
      <c r="M51" s="13">
        <v>16</v>
      </c>
      <c r="N51" s="13">
        <v>20</v>
      </c>
      <c r="O51" s="4">
        <f t="shared" si="11"/>
        <v>45</v>
      </c>
      <c r="P51" s="70">
        <f t="shared" si="4"/>
        <v>9</v>
      </c>
      <c r="Q51" s="13">
        <v>6</v>
      </c>
      <c r="R51" s="13">
        <v>13.5</v>
      </c>
      <c r="S51" s="8">
        <f t="shared" si="12"/>
        <v>19.5</v>
      </c>
      <c r="T51" s="71">
        <f t="shared" si="5"/>
        <v>9.75</v>
      </c>
      <c r="U51" s="8">
        <v>22</v>
      </c>
      <c r="V51" s="13">
        <f t="shared" si="10"/>
        <v>22</v>
      </c>
      <c r="W51" s="72">
        <f t="shared" si="6"/>
        <v>11</v>
      </c>
      <c r="X51" s="9">
        <f t="shared" si="7"/>
        <v>20.75</v>
      </c>
      <c r="Y51" s="9">
        <v>17.5</v>
      </c>
      <c r="Z51" s="9">
        <v>10</v>
      </c>
      <c r="AA51" s="9">
        <v>17.5</v>
      </c>
      <c r="AB51" s="9">
        <v>45</v>
      </c>
      <c r="AC51" s="73">
        <f t="shared" si="8"/>
        <v>45</v>
      </c>
      <c r="AD51" s="74">
        <f t="shared" si="9"/>
        <v>80.899425287356323</v>
      </c>
      <c r="AE51" s="19" t="str">
        <f>LOOKUP(AD51,{0,50,52,57,61,65,69,73,77,81,85},{"F","D","D+","C-","C","C+","B-","B","B+","A-","A"})</f>
        <v>B+</v>
      </c>
      <c r="AF51" s="3"/>
    </row>
    <row r="52" spans="1:32" ht="26.25" customHeight="1" x14ac:dyDescent="0.3">
      <c r="A52" s="39"/>
      <c r="C52" s="30"/>
      <c r="D52" s="49">
        <f t="shared" ref="D52:I52" si="13">AVERAGE(D9:D51)</f>
        <v>14.418604651162791</v>
      </c>
      <c r="E52" s="49">
        <f t="shared" si="13"/>
        <v>3.63953488372093</v>
      </c>
      <c r="F52" s="49">
        <f t="shared" si="13"/>
        <v>9.0813953488372086</v>
      </c>
      <c r="G52" s="49">
        <f t="shared" si="13"/>
        <v>3.9186046511627906</v>
      </c>
      <c r="H52" s="49">
        <f t="shared" si="13"/>
        <v>3.558139534883721</v>
      </c>
      <c r="I52" s="49">
        <f t="shared" si="13"/>
        <v>4.0348837209302326</v>
      </c>
      <c r="J52" s="31"/>
      <c r="K52" s="31"/>
      <c r="L52" s="31">
        <f>AVERAGE(L9:L51)</f>
        <v>8.5465116279069768</v>
      </c>
      <c r="M52" s="31">
        <f>AVERAGE(M9:M51)</f>
        <v>18.767441860465116</v>
      </c>
      <c r="N52" s="31">
        <f>AVERAGE(N9:N51)</f>
        <v>18.697674418604652</v>
      </c>
      <c r="O52" s="31"/>
      <c r="P52" s="31"/>
      <c r="Q52" s="31"/>
      <c r="R52" s="31"/>
      <c r="S52" s="49">
        <f>AVERAGE(S9:S51)</f>
        <v>19.86046511627907</v>
      </c>
      <c r="T52" s="54">
        <f t="shared" ref="T52" si="14">(S52/16)*15</f>
        <v>18.619186046511629</v>
      </c>
      <c r="U52" s="49">
        <f>AVERAGE(U9:U51)</f>
        <v>26.313953488372093</v>
      </c>
      <c r="V52" s="31"/>
      <c r="W52" s="31"/>
      <c r="X52" s="31"/>
      <c r="Y52" s="31"/>
      <c r="Z52" s="31"/>
      <c r="AA52" s="31"/>
      <c r="AB52" s="49">
        <f>AVERAGE(AB9:AB51)</f>
        <v>41</v>
      </c>
      <c r="AC52" s="31"/>
      <c r="AD52" s="31"/>
      <c r="AE52" s="31"/>
      <c r="AF52" s="31"/>
    </row>
    <row r="53" spans="1:32" ht="19.5" thickBot="1" x14ac:dyDescent="0.35">
      <c r="C53" s="33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2"/>
      <c r="X53" s="31"/>
      <c r="Y53" s="31"/>
      <c r="Z53" s="31"/>
      <c r="AA53" s="31"/>
      <c r="AB53" s="31"/>
      <c r="AC53" s="31"/>
      <c r="AD53" s="32"/>
      <c r="AE53" s="31"/>
      <c r="AF53" s="31"/>
    </row>
    <row r="54" spans="1:32" ht="25.5" customHeight="1" thickBot="1" x14ac:dyDescent="0.35">
      <c r="B54" s="37"/>
      <c r="C54" s="34" t="s">
        <v>15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20.25" customHeight="1" x14ac:dyDescent="0.3">
      <c r="B55" s="38"/>
      <c r="C55" s="35" t="s">
        <v>65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9.5" thickBot="1" x14ac:dyDescent="0.35">
      <c r="B56" s="37"/>
      <c r="C56" s="36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3" customHeight="1" x14ac:dyDescent="0.3">
      <c r="B57" s="37"/>
      <c r="C57" s="35" t="s">
        <v>7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9.5" customHeight="1" x14ac:dyDescent="0.3">
      <c r="B58" s="38"/>
      <c r="C58" s="30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x14ac:dyDescent="0.3">
      <c r="C59" s="3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x14ac:dyDescent="0.3">
      <c r="C60" s="3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x14ac:dyDescent="0.3">
      <c r="C61" s="30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x14ac:dyDescent="0.3">
      <c r="C62" s="30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x14ac:dyDescent="0.3">
      <c r="C63" s="30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</sheetData>
  <sortState ref="B8:P56">
    <sortCondition ref="B8"/>
  </sortState>
  <mergeCells count="20">
    <mergeCell ref="AE5:AE8"/>
    <mergeCell ref="P1:AD2"/>
    <mergeCell ref="P3:AD4"/>
    <mergeCell ref="AD5:AD7"/>
    <mergeCell ref="Q5:X5"/>
    <mergeCell ref="S6:T7"/>
    <mergeCell ref="V6:W7"/>
    <mergeCell ref="Y5:AC5"/>
    <mergeCell ref="AB6:AC6"/>
    <mergeCell ref="AB7:AC7"/>
    <mergeCell ref="A1:C4"/>
    <mergeCell ref="D1:O2"/>
    <mergeCell ref="D3:O4"/>
    <mergeCell ref="A5:A8"/>
    <mergeCell ref="C7:C8"/>
    <mergeCell ref="B7:B8"/>
    <mergeCell ref="B5:C5"/>
    <mergeCell ref="D5:K5"/>
    <mergeCell ref="L5:P5"/>
    <mergeCell ref="J7:K7"/>
  </mergeCells>
  <conditionalFormatting sqref="AE9:AE51">
    <cfRule type="cellIs" dxfId="1" priority="1" stopIfTrue="1" operator="equal">
      <formula>"F"</formula>
    </cfRule>
    <cfRule type="cellIs" dxfId="0" priority="2" stopIfTrue="1" operator="equal">
      <formula>"F"</formula>
    </cfRule>
  </conditionalFormatting>
  <printOptions horizontalCentered="1"/>
  <pageMargins left="0.45" right="0.45" top="0.5" bottom="0.5" header="0.3" footer="0.3"/>
  <pageSetup paperSize="41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Theory</vt:lpstr>
      <vt:lpstr>Theory!Print_Titles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Dr Sakeena</cp:lastModifiedBy>
  <cp:lastPrinted>2024-07-09T08:28:18Z</cp:lastPrinted>
  <dcterms:created xsi:type="dcterms:W3CDTF">2017-09-22T19:27:21Z</dcterms:created>
  <dcterms:modified xsi:type="dcterms:W3CDTF">2025-07-10T08:27:34Z</dcterms:modified>
</cp:coreProperties>
</file>